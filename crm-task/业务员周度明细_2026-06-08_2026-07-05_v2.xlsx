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业务员周度明细" sheetId="1" r:id="rId1"/>
    <sheet name="口径说明" sheetId="2" r:id="rId2"/>
  </sheets>
  <externalReferences>
    <externalReference r:id="rId3"/>
  </externalReferences>
  <definedNames>
    <definedName name="_xlnm._FilterDatabase" localSheetId="0" hidden="1">业务员周度明细!$A$1:$AL$99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<sst xmlns="http://schemas.openxmlformats.org/spreadsheetml/2006/main" count="828" uniqueCount="205">
  <si>
    <t>业务员</t>
  </si>
  <si>
    <t>区域</t>
  </si>
  <si>
    <t>角色</t>
  </si>
  <si>
    <t>站台</t>
  </si>
  <si>
    <t>新人/老人</t>
  </si>
  <si>
    <t>新/老市场</t>
  </si>
  <si>
    <t>是否建任务</t>
  </si>
  <si>
    <t>客户数</t>
  </si>
  <si>
    <t>城市数</t>
  </si>
  <si>
    <t>修改次数</t>
  </si>
  <si>
    <t>总任务数</t>
  </si>
  <si>
    <t>未完成任务数</t>
  </si>
  <si>
    <t>100%完成任务数</t>
  </si>
  <si>
    <t>6月总费用</t>
  </si>
  <si>
    <t>5月总费用</t>
  </si>
  <si>
    <t>6月和5月总费用差值</t>
  </si>
  <si>
    <t>总费用状态</t>
  </si>
  <si>
    <t>任务关联实际酒店消费</t>
  </si>
  <si>
    <t>6月酒店费用</t>
  </si>
  <si>
    <t>5月酒店费用</t>
  </si>
  <si>
    <t>6月与5月差值</t>
  </si>
  <si>
    <t>酒店费用变化</t>
  </si>
  <si>
    <t>应扣金额</t>
  </si>
  <si>
    <t>申诉次数</t>
  </si>
  <si>
    <t>最终扣费</t>
  </si>
  <si>
    <t>6月油费️</t>
  </si>
  <si>
    <t>5月油费</t>
  </si>
  <si>
    <t>6月与5月油费差值</t>
  </si>
  <si>
    <t>6月有效里程</t>
  </si>
  <si>
    <t>5月有效里程</t>
  </si>
  <si>
    <t>6月与5月油里程差值</t>
  </si>
  <si>
    <t>6月拜访次数</t>
  </si>
  <si>
    <t>5月拜访次数</t>
  </si>
  <si>
    <t>6月与5月油拜访次数差值</t>
  </si>
  <si>
    <t>6月拜访客户数</t>
  </si>
  <si>
    <t>5月拜访客户数</t>
  </si>
  <si>
    <t>6月与5月油拜客户数差值</t>
  </si>
  <si>
    <t>备注</t>
  </si>
  <si>
    <t>是否清零</t>
  </si>
  <si>
    <t>汪新程</t>
  </si>
  <si>
    <t>苏皖</t>
  </si>
  <si>
    <t/>
  </si>
  <si>
    <t>老人</t>
  </si>
  <si>
    <t>老市场</t>
  </si>
  <si>
    <t>是</t>
  </si>
  <si>
    <t>上涨</t>
  </si>
  <si>
    <t>侯国英</t>
  </si>
  <si>
    <t>晋陕区域</t>
  </si>
  <si>
    <t>北方战区</t>
  </si>
  <si>
    <t>郑凯文</t>
  </si>
  <si>
    <t>山东区域</t>
  </si>
  <si>
    <t>下降</t>
  </si>
  <si>
    <t>孙涛</t>
  </si>
  <si>
    <t>黑吉</t>
  </si>
  <si>
    <t>王岩</t>
  </si>
  <si>
    <t>黑吉区域</t>
  </si>
  <si>
    <t>北方</t>
  </si>
  <si>
    <t>余勇韬</t>
  </si>
  <si>
    <t>华南</t>
  </si>
  <si>
    <t>王培杰</t>
  </si>
  <si>
    <t>甘宁区域</t>
  </si>
  <si>
    <t>白旭航</t>
  </si>
  <si>
    <t>甘宁</t>
  </si>
  <si>
    <t>康学磊</t>
  </si>
  <si>
    <t>晋陕</t>
  </si>
  <si>
    <t>王金卫</t>
  </si>
  <si>
    <t>吴俊宏</t>
  </si>
  <si>
    <t>云贵</t>
  </si>
  <si>
    <t>西南战区</t>
  </si>
  <si>
    <t>刘浩东</t>
  </si>
  <si>
    <t>韩国康</t>
  </si>
  <si>
    <t>吕伟伟</t>
  </si>
  <si>
    <t>河南</t>
  </si>
  <si>
    <t>李扬洋</t>
  </si>
  <si>
    <t>崔伟</t>
  </si>
  <si>
    <t>熊雄</t>
  </si>
  <si>
    <t>华中</t>
  </si>
  <si>
    <t>冯永健</t>
  </si>
  <si>
    <t>阙宗林</t>
  </si>
  <si>
    <t>张青川</t>
  </si>
  <si>
    <t>川渝</t>
  </si>
  <si>
    <t>周炜</t>
  </si>
  <si>
    <t>孙杨</t>
  </si>
  <si>
    <t>王真华</t>
  </si>
  <si>
    <t>李云鹤</t>
  </si>
  <si>
    <t>辽宁</t>
  </si>
  <si>
    <t>苏彦驰</t>
  </si>
  <si>
    <t>业务代表</t>
  </si>
  <si>
    <t>否</t>
  </si>
  <si>
    <t>非7月通讯录，来自5/6月消费明细或Sheet11补录，离职员工</t>
  </si>
  <si>
    <t>池新昌</t>
  </si>
  <si>
    <t>河北区域</t>
  </si>
  <si>
    <t>廖俊</t>
  </si>
  <si>
    <t>靳高阳</t>
  </si>
  <si>
    <t>河北</t>
  </si>
  <si>
    <t>赵子涵</t>
  </si>
  <si>
    <t>王羽豪</t>
  </si>
  <si>
    <t>李海涛</t>
  </si>
  <si>
    <t>鄂北区域</t>
  </si>
  <si>
    <t>李财</t>
  </si>
  <si>
    <t>刘春松</t>
  </si>
  <si>
    <t>张光</t>
  </si>
  <si>
    <t>徐帅</t>
  </si>
  <si>
    <t>徐鹏辉</t>
  </si>
  <si>
    <t>蔡世强</t>
  </si>
  <si>
    <t>施昊</t>
  </si>
  <si>
    <t>云贵区域</t>
  </si>
  <si>
    <t>西南</t>
  </si>
  <si>
    <t>向仁兵</t>
  </si>
  <si>
    <t>武治国</t>
  </si>
  <si>
    <t>羊窝</t>
  </si>
  <si>
    <t>王爱海</t>
  </si>
  <si>
    <t>王运寄</t>
  </si>
  <si>
    <t>谷佳文</t>
  </si>
  <si>
    <t>东北区域</t>
  </si>
  <si>
    <t>耿立庆</t>
  </si>
  <si>
    <t>山东</t>
  </si>
  <si>
    <t>付豪</t>
  </si>
  <si>
    <t>河南区域</t>
  </si>
  <si>
    <t>范思聪</t>
  </si>
  <si>
    <t>大宗销售部</t>
  </si>
  <si>
    <t>业务负责人</t>
  </si>
  <si>
    <t>非7月通讯录，来自5/6月消费明细或Sheet11补录，业务负责人，不考虑</t>
  </si>
  <si>
    <t>李永涛</t>
  </si>
  <si>
    <t>陈耀宾</t>
  </si>
  <si>
    <t>羊窝项目组</t>
  </si>
  <si>
    <t>黄铭越</t>
  </si>
  <si>
    <t>郭玉昭</t>
  </si>
  <si>
    <t>杨益萌</t>
  </si>
  <si>
    <t>孙岩</t>
  </si>
  <si>
    <t>刘旭龙</t>
  </si>
  <si>
    <t>桑向向</t>
  </si>
  <si>
    <t>马骏</t>
  </si>
  <si>
    <t>莫旭</t>
  </si>
  <si>
    <t>陈鹏</t>
  </si>
  <si>
    <t>李通</t>
  </si>
  <si>
    <t>邢路齐</t>
  </si>
  <si>
    <t>王希然</t>
  </si>
  <si>
    <t>张桐菓</t>
  </si>
  <si>
    <t>蒋涛</t>
  </si>
  <si>
    <t>新人</t>
  </si>
  <si>
    <t>张子翔</t>
  </si>
  <si>
    <t>刘洋</t>
  </si>
  <si>
    <t>付智勇</t>
  </si>
  <si>
    <t>卢弘宽</t>
  </si>
  <si>
    <t>牛晓东</t>
  </si>
  <si>
    <t>朱海峰</t>
  </si>
  <si>
    <t>石瑞杰</t>
  </si>
  <si>
    <t>周家伟</t>
  </si>
  <si>
    <t>高阔</t>
  </si>
  <si>
    <t>刘海</t>
  </si>
  <si>
    <t>金傲</t>
  </si>
  <si>
    <t>邝善锴</t>
  </si>
  <si>
    <t>朱宗鑫</t>
  </si>
  <si>
    <t>章光富</t>
  </si>
  <si>
    <t>西南战区-川渝区域</t>
  </si>
  <si>
    <t>李路阳</t>
  </si>
  <si>
    <t>赵鸿星</t>
  </si>
  <si>
    <t>邵鹏泉</t>
  </si>
  <si>
    <t>王一</t>
  </si>
  <si>
    <t>岳未郅</t>
  </si>
  <si>
    <t>新市场</t>
  </si>
  <si>
    <t>梁日高</t>
  </si>
  <si>
    <t>赵璇</t>
  </si>
  <si>
    <t>郭景婷</t>
  </si>
  <si>
    <t>刘凯</t>
  </si>
  <si>
    <t>李帅</t>
  </si>
  <si>
    <t>张玉明</t>
  </si>
  <si>
    <t>陈凯</t>
  </si>
  <si>
    <t>张天保</t>
  </si>
  <si>
    <t>辽宁区域</t>
  </si>
  <si>
    <t>邵冰</t>
  </si>
  <si>
    <t>孙玄</t>
  </si>
  <si>
    <t>范益铭</t>
  </si>
  <si>
    <t>顾江涛</t>
  </si>
  <si>
    <t>苏小雨</t>
  </si>
  <si>
    <t>王兆雨</t>
  </si>
  <si>
    <t>王鹏州</t>
  </si>
  <si>
    <t>赵光</t>
  </si>
  <si>
    <t>杨进龙</t>
  </si>
  <si>
    <t>周期</t>
  </si>
  <si>
    <t>任务开始时间 2026-06-08 ~ 2026-07-05（含）</t>
  </si>
  <si>
    <t>通讯录</t>
  </si>
  <si>
    <t>d:\数据查询\输出\7月大宗销售部通讯录.xlsx；并补录5/6月大宗消费明细酒店预定人中通讯录没有的人</t>
  </si>
  <si>
    <t>补录名单</t>
  </si>
  <si>
    <t>周家伟、李帅、梁日高、苏彦驰、范思聪、范益铭、赵光、顾江涛</t>
  </si>
  <si>
    <t>数据源</t>
  </si>
  <si>
    <t>c:\Users\HY\Desktop\大宗酒店费用6.1-7.5日.xlsx</t>
  </si>
  <si>
    <t>入职日在 2026-06-01~06-30；补录人员无入职日按老人</t>
  </si>
  <si>
    <t>仅岳未郅</t>
  </si>
  <si>
    <t>按修改后口径；未修改用修改前；对人取任务均值</t>
  </si>
  <si>
    <t>优先任务「申请酒店的城市」去重；无任务时用6月消费明细酒店城市</t>
  </si>
  <si>
    <t>是否修改任务=是 的任务数</t>
  </si>
  <si>
    <t>未完成</t>
  </si>
  <si>
    <t>完成度 &lt; 1</t>
  </si>
  <si>
    <t>周期内任务消费金额合计</t>
  </si>
  <si>
    <t>6月费用</t>
  </si>
  <si>
    <t>6月大宗消费明细：产品类型=酒店，按预定人汇总「合计」</t>
  </si>
  <si>
    <t>vs5月</t>
  </si>
  <si>
    <t>5月大宗消费明细：产品类型=酒店，按预定人汇总「合计」</t>
  </si>
  <si>
    <t>未完成且未申诉任务的实际酒店消费合计</t>
  </si>
  <si>
    <t>最终扣费/油补/备注</t>
  </si>
  <si>
    <t>按框架留空；补录人员备注标明来源</t>
  </si>
  <si>
    <t>标红置顶</t>
  </si>
  <si>
    <t>未建任务 或 有未完成任务 或 应扣金额&gt;0 或 消费明细补录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</si>
</sst>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.5"/>
      <color rgb="FF141414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2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1" xfId="0" applyBorder="1"/>
    <xf numFmtId="0" fontId="2" fillId="3" borderId="1" xfId="0" applyFont="1" applyFill="1" applyBorder="1"/>
    <xf numFmtId="0" fontId="3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Y\Desktop\&#22823;&#23447;&#37202;&#24215;&#36153;&#29992;6.1-7.5&#2608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6月1号-7.5日任务完成数据"/>
      <sheetName val="5月大宗消费汇总"/>
      <sheetName val="5月大宗消费明细"/>
      <sheetName val="6月大宗消费明细"/>
      <sheetName val="5月油费"/>
      <sheetName val="6月油费"/>
    </sheetNames>
    <sheetDataSet>
      <sheetData sheetId="0">
        <row r="1">
          <cell r="A1" t="str">
            <v>员工名字</v>
          </cell>
          <cell r="B1" t="str">
            <v>部门</v>
          </cell>
          <cell r="C1" t="str">
            <v>职位</v>
          </cell>
        </row>
        <row r="2">
          <cell r="A2" t="str">
            <v>刘海</v>
          </cell>
          <cell r="B2" t="str">
            <v>互联网事业部-大宗销售部-华中区域</v>
          </cell>
          <cell r="C2" t="str">
            <v>区域经理</v>
          </cell>
        </row>
        <row r="3">
          <cell r="A3" t="str">
            <v>陈凯</v>
          </cell>
          <cell r="B3" t="str">
            <v>互联网事业部-大宗销售部-山东区域</v>
          </cell>
          <cell r="C3" t="str">
            <v>区域经理</v>
          </cell>
        </row>
        <row r="4">
          <cell r="A4" t="str">
            <v>汪新程</v>
          </cell>
          <cell r="B4" t="str">
            <v>互联网事业部-大宗销售部-苏皖区域</v>
          </cell>
          <cell r="C4" t="str">
            <v>业务代表</v>
          </cell>
        </row>
        <row r="5">
          <cell r="A5" t="str">
            <v>汪新程</v>
          </cell>
          <cell r="B5" t="str">
            <v>互联网事业部-大宗销售部-苏皖区域</v>
          </cell>
          <cell r="C5" t="str">
            <v>业务代表</v>
          </cell>
        </row>
        <row r="6">
          <cell r="A6" t="str">
            <v>汪新程</v>
          </cell>
          <cell r="B6" t="str">
            <v>互联网事业部-大宗销售部-苏皖区域</v>
          </cell>
          <cell r="C6" t="str">
            <v>业务代表</v>
          </cell>
        </row>
        <row r="7">
          <cell r="A7" t="str">
            <v>汪新程</v>
          </cell>
          <cell r="B7" t="str">
            <v>互联网事业部-大宗销售部-苏皖区域</v>
          </cell>
          <cell r="C7" t="str">
            <v>业务代表</v>
          </cell>
        </row>
        <row r="8">
          <cell r="A8" t="str">
            <v>汪新程</v>
          </cell>
          <cell r="B8" t="str">
            <v>互联网事业部-大宗销售部-苏皖区域</v>
          </cell>
          <cell r="C8" t="str">
            <v>业务代表</v>
          </cell>
        </row>
        <row r="9">
          <cell r="A9" t="str">
            <v>李海涛</v>
          </cell>
          <cell r="B9" t="str">
            <v>互联网事业部-大宗销售部-华中区域</v>
          </cell>
          <cell r="C9" t="str">
            <v>业务代表</v>
          </cell>
        </row>
        <row r="10">
          <cell r="A10" t="str">
            <v>李海涛</v>
          </cell>
          <cell r="B10" t="str">
            <v>互联网事业部-大宗销售部-华中区域</v>
          </cell>
          <cell r="C10" t="str">
            <v>业务代表</v>
          </cell>
        </row>
        <row r="11">
          <cell r="A11" t="str">
            <v>李海涛</v>
          </cell>
          <cell r="B11" t="str">
            <v>互联网事业部-大宗销售部-华中区域</v>
          </cell>
          <cell r="C11" t="str">
            <v>业务代表</v>
          </cell>
        </row>
        <row r="12">
          <cell r="A12" t="str">
            <v>王爱海</v>
          </cell>
          <cell r="B12" t="str">
            <v>互联网事业部-大宗销售部-北方战区</v>
          </cell>
          <cell r="C12" t="str">
            <v>区域经理</v>
          </cell>
        </row>
        <row r="13">
          <cell r="A13" t="str">
            <v>王爱海</v>
          </cell>
          <cell r="B13" t="str">
            <v>互联网事业部-大宗销售部-北方战区</v>
          </cell>
          <cell r="C13" t="str">
            <v>区域经理</v>
          </cell>
        </row>
        <row r="14">
          <cell r="A14" t="str">
            <v>王爱海</v>
          </cell>
          <cell r="B14" t="str">
            <v>互联网事业部-大宗销售部-北方战区</v>
          </cell>
          <cell r="C14" t="str">
            <v>区域经理</v>
          </cell>
        </row>
        <row r="15">
          <cell r="A15" t="str">
            <v>桑向向</v>
          </cell>
          <cell r="B15" t="str">
            <v>互联网事业部-大宗销售部-河南区域</v>
          </cell>
          <cell r="C15" t="str">
            <v>业务代表</v>
          </cell>
        </row>
        <row r="16">
          <cell r="A16" t="str">
            <v>桑向向</v>
          </cell>
          <cell r="B16" t="str">
            <v>互联网事业部-大宗销售部-河南区域</v>
          </cell>
          <cell r="C16" t="str">
            <v>业务代表</v>
          </cell>
        </row>
        <row r="17">
          <cell r="A17" t="str">
            <v>桑向向</v>
          </cell>
          <cell r="B17" t="str">
            <v>互联网事业部-大宗销售部-河南区域</v>
          </cell>
          <cell r="C17" t="str">
            <v>业务代表</v>
          </cell>
        </row>
        <row r="18">
          <cell r="A18" t="str">
            <v>桑向向</v>
          </cell>
          <cell r="B18" t="str">
            <v>互联网事业部-大宗销售部-河南区域</v>
          </cell>
          <cell r="C18" t="str">
            <v>业务代表</v>
          </cell>
        </row>
        <row r="19">
          <cell r="A19" t="str">
            <v>桑向向</v>
          </cell>
          <cell r="B19" t="str">
            <v>互联网事业部-大宗销售部-河南区域</v>
          </cell>
          <cell r="C19" t="str">
            <v>业务代表</v>
          </cell>
        </row>
        <row r="20">
          <cell r="A20" t="str">
            <v>石瑞杰</v>
          </cell>
          <cell r="B20" t="str">
            <v>互联网事业部-大宗销售部-河南区域</v>
          </cell>
          <cell r="C20" t="str">
            <v>业务代表</v>
          </cell>
        </row>
        <row r="21">
          <cell r="A21" t="str">
            <v>石瑞杰</v>
          </cell>
          <cell r="B21" t="str">
            <v>互联网事业部-大宗销售部-河南区域</v>
          </cell>
          <cell r="C21" t="str">
            <v>业务代表</v>
          </cell>
        </row>
        <row r="22">
          <cell r="A22" t="str">
            <v>石瑞杰</v>
          </cell>
          <cell r="B22" t="str">
            <v>互联网事业部-大宗销售部-河南区域</v>
          </cell>
          <cell r="C22" t="str">
            <v>业务代表</v>
          </cell>
        </row>
        <row r="23">
          <cell r="A23" t="str">
            <v>石瑞杰</v>
          </cell>
          <cell r="B23" t="str">
            <v>互联网事业部-大宗销售部-河南区域</v>
          </cell>
          <cell r="C23" t="str">
            <v>业务代表</v>
          </cell>
        </row>
        <row r="24">
          <cell r="A24" t="str">
            <v>石瑞杰</v>
          </cell>
          <cell r="B24" t="str">
            <v>互联网事业部-大宗销售部-河南区域</v>
          </cell>
          <cell r="C24" t="str">
            <v>业务代表</v>
          </cell>
        </row>
        <row r="25">
          <cell r="A25" t="str">
            <v>孙杨</v>
          </cell>
          <cell r="B25" t="str">
            <v>互联网事业部-大宗销售部-苏皖区域</v>
          </cell>
          <cell r="C25" t="str">
            <v>业务代表</v>
          </cell>
        </row>
        <row r="26">
          <cell r="A26" t="str">
            <v>孙杨</v>
          </cell>
          <cell r="B26" t="str">
            <v>互联网事业部-大宗销售部-苏皖区域</v>
          </cell>
          <cell r="C26" t="str">
            <v>业务代表</v>
          </cell>
        </row>
        <row r="27">
          <cell r="A27" t="str">
            <v>孙杨</v>
          </cell>
          <cell r="B27" t="str">
            <v>互联网事业部-大宗销售部-苏皖区域</v>
          </cell>
          <cell r="C27" t="str">
            <v>业务代表</v>
          </cell>
        </row>
        <row r="28">
          <cell r="A28" t="str">
            <v>孙杨</v>
          </cell>
          <cell r="B28" t="str">
            <v>互联网事业部-大宗销售部-苏皖区域</v>
          </cell>
          <cell r="C28" t="str">
            <v>业务代表</v>
          </cell>
        </row>
        <row r="29">
          <cell r="A29" t="str">
            <v>莫旭</v>
          </cell>
          <cell r="B29" t="str">
            <v>互联网事业部-大宗销售部-苏皖区域</v>
          </cell>
          <cell r="C29" t="str">
            <v>区域经理</v>
          </cell>
        </row>
        <row r="30">
          <cell r="A30" t="str">
            <v>莫旭</v>
          </cell>
          <cell r="B30" t="str">
            <v>互联网事业部-大宗销售部-苏皖区域</v>
          </cell>
          <cell r="C30" t="str">
            <v>区域经理</v>
          </cell>
        </row>
        <row r="31">
          <cell r="A31" t="str">
            <v>莫旭</v>
          </cell>
          <cell r="B31" t="str">
            <v>互联网事业部-大宗销售部-苏皖区域</v>
          </cell>
          <cell r="C31" t="str">
            <v>区域经理</v>
          </cell>
        </row>
        <row r="32">
          <cell r="A32" t="str">
            <v>张光</v>
          </cell>
          <cell r="B32" t="str">
            <v>互联网事业部-大宗销售部-河北区域</v>
          </cell>
          <cell r="C32" t="str">
            <v>区域经理</v>
          </cell>
        </row>
        <row r="33">
          <cell r="A33" t="str">
            <v>张光</v>
          </cell>
          <cell r="B33" t="str">
            <v>互联网事业部-大宗销售部-河北区域</v>
          </cell>
          <cell r="C33" t="str">
            <v>区域经理</v>
          </cell>
        </row>
        <row r="34">
          <cell r="A34" t="str">
            <v>张光</v>
          </cell>
          <cell r="B34" t="str">
            <v>互联网事业部-大宗销售部-河北区域</v>
          </cell>
          <cell r="C34" t="str">
            <v>区域经理</v>
          </cell>
        </row>
        <row r="35">
          <cell r="A35" t="str">
            <v>张光</v>
          </cell>
          <cell r="B35" t="str">
            <v>互联网事业部-大宗销售部-河北区域</v>
          </cell>
          <cell r="C35" t="str">
            <v>区域经理</v>
          </cell>
        </row>
        <row r="36">
          <cell r="A36" t="str">
            <v>张光</v>
          </cell>
          <cell r="B36" t="str">
            <v>互联网事业部-大宗销售部-河北区域</v>
          </cell>
          <cell r="C36" t="str">
            <v>区域经理</v>
          </cell>
        </row>
        <row r="37">
          <cell r="A37" t="str">
            <v>付豪</v>
          </cell>
          <cell r="B37" t="str">
            <v>互联网事业部-大宗销售部-河南区域</v>
          </cell>
          <cell r="C37" t="str">
            <v>业务代表</v>
          </cell>
        </row>
        <row r="38">
          <cell r="A38" t="str">
            <v>付豪</v>
          </cell>
          <cell r="B38" t="str">
            <v>互联网事业部-大宗销售部-河南区域</v>
          </cell>
          <cell r="C38" t="str">
            <v>业务代表</v>
          </cell>
        </row>
        <row r="39">
          <cell r="A39" t="str">
            <v>付豪</v>
          </cell>
          <cell r="B39" t="str">
            <v>互联网事业部-大宗销售部-河南区域</v>
          </cell>
          <cell r="C39" t="str">
            <v>业务代表</v>
          </cell>
        </row>
        <row r="40">
          <cell r="A40" t="str">
            <v>付豪</v>
          </cell>
          <cell r="B40" t="str">
            <v>互联网事业部-大宗销售部-河南区域</v>
          </cell>
          <cell r="C40" t="str">
            <v>业务代表</v>
          </cell>
        </row>
        <row r="41">
          <cell r="A41" t="str">
            <v>付豪</v>
          </cell>
          <cell r="B41" t="str">
            <v>互联网事业部-大宗销售部-河南区域</v>
          </cell>
          <cell r="C41" t="str">
            <v>业务代表</v>
          </cell>
        </row>
        <row r="42">
          <cell r="A42" t="str">
            <v>孙涛</v>
          </cell>
          <cell r="B42" t="str">
            <v>互联网事业部-大宗销售部-北方战区-黑吉区域</v>
          </cell>
          <cell r="C42" t="str">
            <v>业务代表</v>
          </cell>
        </row>
        <row r="43">
          <cell r="A43" t="str">
            <v>孙涛</v>
          </cell>
          <cell r="B43" t="str">
            <v>互联网事业部-大宗销售部-北方战区-黑吉区域</v>
          </cell>
          <cell r="C43" t="str">
            <v>业务代表</v>
          </cell>
        </row>
        <row r="44">
          <cell r="A44" t="str">
            <v>孙涛</v>
          </cell>
          <cell r="B44" t="str">
            <v>互联网事业部-大宗销售部-北方战区-黑吉区域</v>
          </cell>
          <cell r="C44" t="str">
            <v>业务代表</v>
          </cell>
        </row>
        <row r="45">
          <cell r="A45" t="str">
            <v>孙涛</v>
          </cell>
          <cell r="B45" t="str">
            <v>互联网事业部-大宗销售部-北方战区-黑吉区域</v>
          </cell>
          <cell r="C45" t="str">
            <v>业务代表</v>
          </cell>
        </row>
        <row r="46">
          <cell r="A46" t="str">
            <v>孙涛</v>
          </cell>
          <cell r="B46" t="str">
            <v>互联网事业部-大宗销售部-北方战区-黑吉区域</v>
          </cell>
          <cell r="C46" t="str">
            <v>业务代表</v>
          </cell>
        </row>
        <row r="47">
          <cell r="A47" t="str">
            <v>王羽豪</v>
          </cell>
          <cell r="B47" t="str">
            <v>互联网事业部-大宗销售部-北方战区-晋陕区域</v>
          </cell>
          <cell r="C47" t="str">
            <v>区域经理</v>
          </cell>
        </row>
        <row r="48">
          <cell r="A48" t="str">
            <v>王羽豪</v>
          </cell>
          <cell r="B48" t="str">
            <v>互联网事业部-大宗销售部-北方战区-晋陕区域</v>
          </cell>
          <cell r="C48" t="str">
            <v>区域经理</v>
          </cell>
        </row>
        <row r="49">
          <cell r="A49" t="str">
            <v>王羽豪</v>
          </cell>
          <cell r="B49" t="str">
            <v>互联网事业部-大宗销售部-北方战区-晋陕区域</v>
          </cell>
          <cell r="C49" t="str">
            <v>区域经理</v>
          </cell>
        </row>
        <row r="50">
          <cell r="A50" t="str">
            <v>张子翔</v>
          </cell>
          <cell r="B50" t="str">
            <v>互联网事业部-大宗销售部-苏皖区域</v>
          </cell>
          <cell r="C50" t="str">
            <v>业务代表</v>
          </cell>
        </row>
        <row r="51">
          <cell r="A51" t="str">
            <v>张子翔</v>
          </cell>
          <cell r="B51" t="str">
            <v>互联网事业部-大宗销售部-苏皖区域</v>
          </cell>
          <cell r="C51" t="str">
            <v>业务代表</v>
          </cell>
        </row>
        <row r="52">
          <cell r="A52" t="str">
            <v>张子翔</v>
          </cell>
          <cell r="B52" t="str">
            <v>互联网事业部-大宗销售部-苏皖区域</v>
          </cell>
          <cell r="C52" t="str">
            <v>业务代表</v>
          </cell>
        </row>
        <row r="53">
          <cell r="A53" t="str">
            <v>张子翔</v>
          </cell>
          <cell r="B53" t="str">
            <v>互联网事业部-大宗销售部-苏皖区域</v>
          </cell>
          <cell r="C53" t="str">
            <v>业务代表</v>
          </cell>
        </row>
        <row r="54">
          <cell r="A54" t="str">
            <v>张子翔</v>
          </cell>
          <cell r="B54" t="str">
            <v>互联网事业部-大宗销售部-苏皖区域</v>
          </cell>
          <cell r="C54" t="str">
            <v>业务代表</v>
          </cell>
        </row>
        <row r="55">
          <cell r="A55" t="str">
            <v>王金卫</v>
          </cell>
          <cell r="B55" t="str">
            <v>互联网事业部-大宗销售部-华南区域</v>
          </cell>
          <cell r="C55" t="str">
            <v>业务主管</v>
          </cell>
        </row>
        <row r="56">
          <cell r="A56" t="str">
            <v>王金卫</v>
          </cell>
          <cell r="B56" t="str">
            <v>互联网事业部-大宗销售部-华南区域</v>
          </cell>
          <cell r="C56" t="str">
            <v>业务主管</v>
          </cell>
        </row>
        <row r="57">
          <cell r="A57" t="str">
            <v>王金卫</v>
          </cell>
          <cell r="B57" t="str">
            <v>互联网事业部-大宗销售部-华南区域</v>
          </cell>
          <cell r="C57" t="str">
            <v>业务主管</v>
          </cell>
        </row>
        <row r="58">
          <cell r="A58" t="str">
            <v>王金卫</v>
          </cell>
          <cell r="B58" t="str">
            <v>互联网事业部-大宗销售部-华南区域</v>
          </cell>
          <cell r="C58" t="str">
            <v>业务主管</v>
          </cell>
        </row>
        <row r="59">
          <cell r="A59" t="str">
            <v>王金卫</v>
          </cell>
          <cell r="B59" t="str">
            <v>互联网事业部-大宗销售部-华南区域</v>
          </cell>
          <cell r="C59" t="str">
            <v>业务主管</v>
          </cell>
        </row>
        <row r="60">
          <cell r="A60" t="str">
            <v>杨进龙</v>
          </cell>
          <cell r="B60" t="str">
            <v>互联网事业部-大宗销售部-北方战区-甘宁区域</v>
          </cell>
          <cell r="C60" t="str">
            <v>业务代表</v>
          </cell>
        </row>
        <row r="61">
          <cell r="A61" t="str">
            <v>杨进龙</v>
          </cell>
          <cell r="B61" t="str">
            <v>互联网事业部-大宗销售部-北方战区-甘宁区域</v>
          </cell>
          <cell r="C61" t="str">
            <v>业务代表</v>
          </cell>
        </row>
        <row r="62">
          <cell r="A62" t="str">
            <v>杨进龙</v>
          </cell>
          <cell r="B62" t="str">
            <v>互联网事业部-大宗销售部-北方战区-甘宁区域</v>
          </cell>
          <cell r="C62" t="str">
            <v>业务代表</v>
          </cell>
        </row>
        <row r="63">
          <cell r="A63" t="str">
            <v>杨进龙</v>
          </cell>
          <cell r="B63" t="str">
            <v>互联网事业部-大宗销售部-北方战区-甘宁区域</v>
          </cell>
          <cell r="C63" t="str">
            <v>业务代表</v>
          </cell>
        </row>
        <row r="64">
          <cell r="A64" t="str">
            <v>杨进龙</v>
          </cell>
          <cell r="B64" t="str">
            <v>互联网事业部-大宗销售部-北方战区-甘宁区域</v>
          </cell>
          <cell r="C64" t="str">
            <v>业务代表</v>
          </cell>
        </row>
        <row r="65">
          <cell r="A65" t="str">
            <v>杨进龙</v>
          </cell>
          <cell r="B65" t="str">
            <v>互联网事业部-大宗销售部-北方战区-甘宁区域</v>
          </cell>
          <cell r="C65" t="str">
            <v>业务代表</v>
          </cell>
        </row>
        <row r="66">
          <cell r="A66" t="str">
            <v>杨进龙</v>
          </cell>
          <cell r="B66" t="str">
            <v>互联网事业部-大宗销售部-北方战区-甘宁区域</v>
          </cell>
          <cell r="C66" t="str">
            <v>业务代表</v>
          </cell>
        </row>
        <row r="67">
          <cell r="A67" t="str">
            <v>杨进龙</v>
          </cell>
          <cell r="B67" t="str">
            <v>互联网事业部-大宗销售部-北方战区-甘宁区域</v>
          </cell>
          <cell r="C67" t="str">
            <v>业务代表</v>
          </cell>
        </row>
        <row r="68">
          <cell r="A68" t="str">
            <v>杨进龙</v>
          </cell>
          <cell r="B68" t="str">
            <v>互联网事业部-大宗销售部-北方战区-甘宁区域</v>
          </cell>
          <cell r="C68" t="str">
            <v>业务代表</v>
          </cell>
        </row>
        <row r="69">
          <cell r="A69" t="str">
            <v>向仁兵</v>
          </cell>
          <cell r="B69" t="str">
            <v>互联网事业部-大宗销售部-苏皖区域</v>
          </cell>
          <cell r="C69" t="str">
            <v>业务代表</v>
          </cell>
        </row>
        <row r="70">
          <cell r="A70" t="str">
            <v>向仁兵</v>
          </cell>
          <cell r="B70" t="str">
            <v>互联网事业部-大宗销售部-苏皖区域</v>
          </cell>
          <cell r="C70" t="str">
            <v>业务代表</v>
          </cell>
        </row>
        <row r="71">
          <cell r="A71" t="str">
            <v>向仁兵</v>
          </cell>
          <cell r="B71" t="str">
            <v>互联网事业部-大宗销售部-苏皖区域</v>
          </cell>
          <cell r="C71" t="str">
            <v>业务代表</v>
          </cell>
        </row>
        <row r="72">
          <cell r="A72" t="str">
            <v>向仁兵</v>
          </cell>
          <cell r="B72" t="str">
            <v>互联网事业部-大宗销售部-苏皖区域</v>
          </cell>
          <cell r="C72" t="str">
            <v>业务代表</v>
          </cell>
        </row>
        <row r="73">
          <cell r="A73" t="str">
            <v>向仁兵</v>
          </cell>
          <cell r="B73" t="str">
            <v>互联网事业部-大宗销售部-苏皖区域</v>
          </cell>
          <cell r="C73" t="str">
            <v>业务代表</v>
          </cell>
        </row>
        <row r="74">
          <cell r="A74" t="str">
            <v>刘浩东</v>
          </cell>
          <cell r="B74" t="str">
            <v>互联网事业部-大宗销售部-苏皖区域</v>
          </cell>
          <cell r="C74" t="str">
            <v>业务代表</v>
          </cell>
        </row>
        <row r="75">
          <cell r="A75" t="str">
            <v>刘浩东</v>
          </cell>
          <cell r="B75" t="str">
            <v>互联网事业部-大宗销售部-苏皖区域</v>
          </cell>
          <cell r="C75" t="str">
            <v>业务代表</v>
          </cell>
        </row>
        <row r="76">
          <cell r="A76" t="str">
            <v>刘浩东</v>
          </cell>
          <cell r="B76" t="str">
            <v>互联网事业部-大宗销售部-苏皖区域</v>
          </cell>
          <cell r="C76" t="str">
            <v>业务代表</v>
          </cell>
        </row>
        <row r="77">
          <cell r="A77" t="str">
            <v>刘浩东</v>
          </cell>
          <cell r="B77" t="str">
            <v>互联网事业部-大宗销售部-苏皖区域</v>
          </cell>
          <cell r="C77" t="str">
            <v>业务代表</v>
          </cell>
        </row>
        <row r="78">
          <cell r="A78" t="str">
            <v>刘浩东</v>
          </cell>
          <cell r="B78" t="str">
            <v>互联网事业部-大宗销售部-苏皖区域</v>
          </cell>
          <cell r="C78" t="str">
            <v>业务代表</v>
          </cell>
        </row>
        <row r="79">
          <cell r="A79" t="str">
            <v>崔伟</v>
          </cell>
          <cell r="B79" t="str">
            <v>互联网事业部-大宗销售部-苏皖区域</v>
          </cell>
          <cell r="C79" t="str">
            <v>业务代表</v>
          </cell>
        </row>
        <row r="80">
          <cell r="A80" t="str">
            <v>崔伟</v>
          </cell>
          <cell r="B80" t="str">
            <v>互联网事业部-大宗销售部-苏皖区域</v>
          </cell>
          <cell r="C80" t="str">
            <v>业务代表</v>
          </cell>
        </row>
        <row r="81">
          <cell r="A81" t="str">
            <v>崔伟</v>
          </cell>
          <cell r="B81" t="str">
            <v>互联网事业部-大宗销售部-苏皖区域</v>
          </cell>
          <cell r="C81" t="str">
            <v>业务代表</v>
          </cell>
        </row>
        <row r="82">
          <cell r="A82" t="str">
            <v>崔伟</v>
          </cell>
          <cell r="B82" t="str">
            <v>互联网事业部-大宗销售部-苏皖区域</v>
          </cell>
          <cell r="C82" t="str">
            <v>业务代表</v>
          </cell>
        </row>
        <row r="83">
          <cell r="A83" t="str">
            <v>崔伟</v>
          </cell>
          <cell r="B83" t="str">
            <v>互联网事业部-大宗销售部-苏皖区域</v>
          </cell>
          <cell r="C83" t="str">
            <v>业务代表</v>
          </cell>
        </row>
        <row r="84">
          <cell r="A84" t="str">
            <v>韩国康</v>
          </cell>
          <cell r="B84" t="str">
            <v>互联网事业部-大宗销售部-苏皖区域</v>
          </cell>
          <cell r="C84" t="str">
            <v>业务代表</v>
          </cell>
        </row>
        <row r="85">
          <cell r="A85" t="str">
            <v>韩国康</v>
          </cell>
          <cell r="B85" t="str">
            <v>互联网事业部-大宗销售部-苏皖区域</v>
          </cell>
          <cell r="C85" t="str">
            <v>业务代表</v>
          </cell>
        </row>
        <row r="86">
          <cell r="A86" t="str">
            <v>韩国康</v>
          </cell>
          <cell r="B86" t="str">
            <v>互联网事业部-大宗销售部-苏皖区域</v>
          </cell>
          <cell r="C86" t="str">
            <v>业务代表</v>
          </cell>
        </row>
        <row r="87">
          <cell r="A87" t="str">
            <v>韩国康</v>
          </cell>
          <cell r="B87" t="str">
            <v>互联网事业部-大宗销售部-苏皖区域</v>
          </cell>
          <cell r="C87" t="str">
            <v>业务代表</v>
          </cell>
        </row>
        <row r="88">
          <cell r="A88" t="str">
            <v>韩国康</v>
          </cell>
          <cell r="B88" t="str">
            <v>互联网事业部-大宗销售部-苏皖区域</v>
          </cell>
          <cell r="C88" t="str">
            <v>业务代表</v>
          </cell>
        </row>
        <row r="89">
          <cell r="A89" t="str">
            <v>耿立庆</v>
          </cell>
          <cell r="B89" t="str">
            <v>互联网事业部-大宗销售部-山东区域</v>
          </cell>
          <cell r="C89" t="str">
            <v>业务代表</v>
          </cell>
        </row>
        <row r="90">
          <cell r="A90" t="str">
            <v>耿立庆</v>
          </cell>
          <cell r="B90" t="str">
            <v>互联网事业部-大宗销售部-山东区域</v>
          </cell>
          <cell r="C90" t="str">
            <v>业务代表</v>
          </cell>
        </row>
        <row r="91">
          <cell r="A91" t="str">
            <v>耿立庆</v>
          </cell>
          <cell r="B91" t="str">
            <v>互联网事业部-大宗销售部-山东区域</v>
          </cell>
          <cell r="C91" t="str">
            <v>业务代表</v>
          </cell>
        </row>
        <row r="92">
          <cell r="A92" t="str">
            <v>耿立庆</v>
          </cell>
          <cell r="B92" t="str">
            <v>互联网事业部-大宗销售部-山东区域</v>
          </cell>
          <cell r="C92" t="str">
            <v>业务代表</v>
          </cell>
        </row>
        <row r="93">
          <cell r="A93" t="str">
            <v>耿立庆</v>
          </cell>
          <cell r="B93" t="str">
            <v>互联网事业部-大宗销售部-山东区域</v>
          </cell>
          <cell r="C93" t="str">
            <v>业务代表</v>
          </cell>
        </row>
        <row r="94">
          <cell r="A94" t="str">
            <v>刘春松</v>
          </cell>
          <cell r="B94" t="str">
            <v>互联网事业部-大宗销售部-河北区域</v>
          </cell>
          <cell r="C94" t="str">
            <v>业务代表</v>
          </cell>
        </row>
        <row r="95">
          <cell r="A95" t="str">
            <v>刘春松</v>
          </cell>
          <cell r="B95" t="str">
            <v>互联网事业部-大宗销售部-河北区域</v>
          </cell>
          <cell r="C95" t="str">
            <v>业务代表</v>
          </cell>
        </row>
        <row r="96">
          <cell r="A96" t="str">
            <v>刘春松</v>
          </cell>
          <cell r="B96" t="str">
            <v>互联网事业部-大宗销售部-河北区域</v>
          </cell>
          <cell r="C96" t="str">
            <v>业务代表</v>
          </cell>
        </row>
        <row r="97">
          <cell r="A97" t="str">
            <v>刘春松</v>
          </cell>
          <cell r="B97" t="str">
            <v>互联网事业部-大宗销售部-河北区域</v>
          </cell>
          <cell r="C97" t="str">
            <v>业务代表</v>
          </cell>
        </row>
        <row r="98">
          <cell r="A98" t="str">
            <v>刘春松</v>
          </cell>
          <cell r="B98" t="str">
            <v>互联网事业部-大宗销售部-河北区域</v>
          </cell>
          <cell r="C98" t="str">
            <v>业务代表</v>
          </cell>
        </row>
        <row r="99">
          <cell r="A99" t="str">
            <v>杨益萌</v>
          </cell>
          <cell r="B99" t="str">
            <v>互联网事业部-大宗销售部-河南区域</v>
          </cell>
          <cell r="C99" t="str">
            <v>业务代表</v>
          </cell>
        </row>
        <row r="100">
          <cell r="A100" t="str">
            <v>杨益萌</v>
          </cell>
          <cell r="B100" t="str">
            <v>互联网事业部-大宗销售部-河南区域</v>
          </cell>
          <cell r="C100" t="str">
            <v>业务代表</v>
          </cell>
        </row>
        <row r="101">
          <cell r="A101" t="str">
            <v>杨益萌</v>
          </cell>
          <cell r="B101" t="str">
            <v>互联网事业部-大宗销售部-河南区域</v>
          </cell>
          <cell r="C101" t="str">
            <v>业务代表</v>
          </cell>
        </row>
        <row r="102">
          <cell r="A102" t="str">
            <v>杨益萌</v>
          </cell>
          <cell r="B102" t="str">
            <v>互联网事业部-大宗销售部-河南区域</v>
          </cell>
          <cell r="C102" t="str">
            <v>业务代表</v>
          </cell>
        </row>
        <row r="103">
          <cell r="A103" t="str">
            <v>杨益萌</v>
          </cell>
          <cell r="B103" t="str">
            <v>互联网事业部-大宗销售部-河南区域</v>
          </cell>
          <cell r="C103" t="str">
            <v>业务代表</v>
          </cell>
        </row>
        <row r="104">
          <cell r="A104" t="str">
            <v>熊雄</v>
          </cell>
          <cell r="B104" t="str">
            <v>互联网事业部-大宗销售部-华中区域</v>
          </cell>
          <cell r="C104" t="str">
            <v>业务代表</v>
          </cell>
        </row>
        <row r="105">
          <cell r="A105" t="str">
            <v>熊雄</v>
          </cell>
          <cell r="B105" t="str">
            <v>互联网事业部-大宗销售部-华中区域</v>
          </cell>
          <cell r="C105" t="str">
            <v>业务代表</v>
          </cell>
        </row>
        <row r="106">
          <cell r="A106" t="str">
            <v>熊雄</v>
          </cell>
          <cell r="B106" t="str">
            <v>互联网事业部-大宗销售部-华中区域</v>
          </cell>
          <cell r="C106" t="str">
            <v>业务代表</v>
          </cell>
        </row>
        <row r="107">
          <cell r="A107" t="str">
            <v>熊雄</v>
          </cell>
          <cell r="B107" t="str">
            <v>互联网事业部-大宗销售部-华中区域</v>
          </cell>
          <cell r="C107" t="str">
            <v>业务代表</v>
          </cell>
        </row>
        <row r="108">
          <cell r="A108" t="str">
            <v>熊雄</v>
          </cell>
          <cell r="B108" t="str">
            <v>互联网事业部-大宗销售部-华中区域</v>
          </cell>
          <cell r="C108" t="str">
            <v>业务代表</v>
          </cell>
        </row>
        <row r="109">
          <cell r="A109" t="str">
            <v>郭玉昭</v>
          </cell>
          <cell r="B109" t="str">
            <v>互联网事业部-大宗销售部-山东区域</v>
          </cell>
          <cell r="C109" t="str">
            <v>业务代表</v>
          </cell>
        </row>
        <row r="110">
          <cell r="A110" t="str">
            <v>郭玉昭</v>
          </cell>
          <cell r="B110" t="str">
            <v>互联网事业部-大宗销售部-山东区域</v>
          </cell>
          <cell r="C110" t="str">
            <v>业务代表</v>
          </cell>
        </row>
        <row r="111">
          <cell r="A111" t="str">
            <v>郭玉昭</v>
          </cell>
          <cell r="B111" t="str">
            <v>互联网事业部-大宗销售部-山东区域</v>
          </cell>
          <cell r="C111" t="str">
            <v>业务代表</v>
          </cell>
        </row>
        <row r="112">
          <cell r="A112" t="str">
            <v>郭玉昭</v>
          </cell>
          <cell r="B112" t="str">
            <v>互联网事业部-大宗销售部-山东区域</v>
          </cell>
          <cell r="C112" t="str">
            <v>业务代表</v>
          </cell>
        </row>
        <row r="113">
          <cell r="A113" t="str">
            <v>郭玉昭</v>
          </cell>
          <cell r="B113" t="str">
            <v>互联网事业部-大宗销售部-山东区域</v>
          </cell>
          <cell r="C113" t="str">
            <v>业务代表</v>
          </cell>
        </row>
        <row r="114">
          <cell r="A114" t="str">
            <v>邢路齐</v>
          </cell>
          <cell r="B114" t="str">
            <v>互联网事业部-大宗销售部-河南区域</v>
          </cell>
          <cell r="C114" t="str">
            <v>业务代表</v>
          </cell>
        </row>
        <row r="115">
          <cell r="A115" t="str">
            <v>邢路齐</v>
          </cell>
          <cell r="B115" t="str">
            <v>互联网事业部-大宗销售部-河南区域</v>
          </cell>
          <cell r="C115" t="str">
            <v>业务代表</v>
          </cell>
        </row>
        <row r="116">
          <cell r="A116" t="str">
            <v>邢路齐</v>
          </cell>
          <cell r="B116" t="str">
            <v>互联网事业部-大宗销售部-河南区域</v>
          </cell>
          <cell r="C116" t="str">
            <v>业务代表</v>
          </cell>
        </row>
        <row r="117">
          <cell r="A117" t="str">
            <v>邢路齐</v>
          </cell>
          <cell r="B117" t="str">
            <v>互联网事业部-大宗销售部-河南区域</v>
          </cell>
          <cell r="C117" t="str">
            <v>业务代表</v>
          </cell>
        </row>
        <row r="118">
          <cell r="A118" t="str">
            <v>邢路齐</v>
          </cell>
          <cell r="B118" t="str">
            <v>互联网事业部-大宗销售部-河南区域</v>
          </cell>
          <cell r="C118" t="str">
            <v>业务代表</v>
          </cell>
        </row>
        <row r="119">
          <cell r="A119" t="str">
            <v>徐鹏辉</v>
          </cell>
          <cell r="B119" t="str">
            <v>互联网事业部-大宗销售部-华中区域</v>
          </cell>
          <cell r="C119" t="str">
            <v>业务代表</v>
          </cell>
        </row>
        <row r="120">
          <cell r="A120" t="str">
            <v>徐鹏辉</v>
          </cell>
          <cell r="B120" t="str">
            <v>互联网事业部-大宗销售部-华中区域</v>
          </cell>
          <cell r="C120" t="str">
            <v>业务代表</v>
          </cell>
        </row>
        <row r="121">
          <cell r="A121" t="str">
            <v>付智勇</v>
          </cell>
          <cell r="B121" t="str">
            <v>互联网事业部-大宗销售部-华中区域</v>
          </cell>
          <cell r="C121" t="str">
            <v>业务主管</v>
          </cell>
        </row>
        <row r="122">
          <cell r="A122" t="str">
            <v>付智勇</v>
          </cell>
          <cell r="B122" t="str">
            <v>互联网事业部-大宗销售部-华中区域</v>
          </cell>
          <cell r="C122" t="str">
            <v>业务主管</v>
          </cell>
        </row>
        <row r="123">
          <cell r="A123" t="str">
            <v>付智勇</v>
          </cell>
          <cell r="B123" t="str">
            <v>互联网事业部-大宗销售部-华中区域</v>
          </cell>
          <cell r="C123" t="str">
            <v>业务主管</v>
          </cell>
        </row>
        <row r="124">
          <cell r="A124" t="str">
            <v>付智勇</v>
          </cell>
          <cell r="B124" t="str">
            <v>互联网事业部-大宗销售部-华中区域</v>
          </cell>
          <cell r="C124" t="str">
            <v>业务主管</v>
          </cell>
        </row>
        <row r="125">
          <cell r="A125" t="str">
            <v>付智勇</v>
          </cell>
          <cell r="B125" t="str">
            <v>互联网事业部-大宗销售部-华中区域</v>
          </cell>
          <cell r="C125" t="str">
            <v>业务主管</v>
          </cell>
        </row>
        <row r="126">
          <cell r="A126" t="str">
            <v>邵鹏泉</v>
          </cell>
          <cell r="B126" t="str">
            <v>互联网事业部-大宗销售部-山东区域</v>
          </cell>
          <cell r="C126" t="str">
            <v>业务代表</v>
          </cell>
        </row>
        <row r="127">
          <cell r="A127" t="str">
            <v>邵鹏泉</v>
          </cell>
          <cell r="B127" t="str">
            <v>互联网事业部-大宗销售部-山东区域</v>
          </cell>
          <cell r="C127" t="str">
            <v>业务代表</v>
          </cell>
        </row>
        <row r="128">
          <cell r="A128" t="str">
            <v>邵鹏泉</v>
          </cell>
          <cell r="B128" t="str">
            <v>互联网事业部-大宗销售部-山东区域</v>
          </cell>
          <cell r="C128" t="str">
            <v>业务代表</v>
          </cell>
        </row>
        <row r="129">
          <cell r="A129" t="str">
            <v>邵鹏泉</v>
          </cell>
          <cell r="B129" t="str">
            <v>互联网事业部-大宗销售部-山东区域</v>
          </cell>
          <cell r="C129" t="str">
            <v>业务代表</v>
          </cell>
        </row>
        <row r="130">
          <cell r="A130" t="str">
            <v>邵鹏泉</v>
          </cell>
          <cell r="B130" t="str">
            <v>互联网事业部-大宗销售部-山东区域</v>
          </cell>
          <cell r="C130" t="str">
            <v>业务代表</v>
          </cell>
        </row>
        <row r="131">
          <cell r="A131" t="str">
            <v>李扬洋</v>
          </cell>
          <cell r="B131" t="str">
            <v>互联网事业部-大宗销售部-苏皖区域</v>
          </cell>
          <cell r="C131" t="str">
            <v>业务代表</v>
          </cell>
        </row>
        <row r="132">
          <cell r="A132" t="str">
            <v>李扬洋</v>
          </cell>
          <cell r="B132" t="str">
            <v>互联网事业部-大宗销售部-苏皖区域</v>
          </cell>
          <cell r="C132" t="str">
            <v>业务代表</v>
          </cell>
        </row>
        <row r="133">
          <cell r="A133" t="str">
            <v>李扬洋</v>
          </cell>
          <cell r="B133" t="str">
            <v>互联网事业部-大宗销售部-苏皖区域</v>
          </cell>
          <cell r="C133" t="str">
            <v>业务代表</v>
          </cell>
        </row>
        <row r="134">
          <cell r="A134" t="str">
            <v>李扬洋</v>
          </cell>
          <cell r="B134" t="str">
            <v>互联网事业部-大宗销售部-苏皖区域</v>
          </cell>
          <cell r="C134" t="str">
            <v>业务代表</v>
          </cell>
        </row>
        <row r="135">
          <cell r="A135" t="str">
            <v>李扬洋</v>
          </cell>
          <cell r="B135" t="str">
            <v>互联网事业部-大宗销售部-苏皖区域</v>
          </cell>
          <cell r="C135" t="str">
            <v>业务代表</v>
          </cell>
        </row>
        <row r="136">
          <cell r="A136" t="str">
            <v>王真华</v>
          </cell>
          <cell r="B136" t="str">
            <v>互联网事业部-大宗销售部-华中区域</v>
          </cell>
          <cell r="C136" t="str">
            <v>业务代表</v>
          </cell>
        </row>
        <row r="137">
          <cell r="A137" t="str">
            <v>王真华</v>
          </cell>
          <cell r="B137" t="str">
            <v>互联网事业部-大宗销售部-华中区域</v>
          </cell>
          <cell r="C137" t="str">
            <v>业务代表</v>
          </cell>
        </row>
        <row r="138">
          <cell r="A138" t="str">
            <v>王真华</v>
          </cell>
          <cell r="B138" t="str">
            <v>互联网事业部-大宗销售部-华中区域</v>
          </cell>
          <cell r="C138" t="str">
            <v>业务代表</v>
          </cell>
        </row>
        <row r="139">
          <cell r="A139" t="str">
            <v>王真华</v>
          </cell>
          <cell r="B139" t="str">
            <v>互联网事业部-大宗销售部-华中区域</v>
          </cell>
          <cell r="C139" t="str">
            <v>业务代表</v>
          </cell>
        </row>
        <row r="140">
          <cell r="A140" t="str">
            <v>王真华</v>
          </cell>
          <cell r="B140" t="str">
            <v>互联网事业部-大宗销售部-华中区域</v>
          </cell>
          <cell r="C140" t="str">
            <v>业务代表</v>
          </cell>
        </row>
        <row r="141">
          <cell r="A141" t="str">
            <v>李通</v>
          </cell>
          <cell r="B141" t="str">
            <v>互联网事业部-大宗销售部-山东区域</v>
          </cell>
          <cell r="C141" t="str">
            <v>业务代表</v>
          </cell>
        </row>
        <row r="142">
          <cell r="A142" t="str">
            <v>李通</v>
          </cell>
          <cell r="B142" t="str">
            <v>互联网事业部-大宗销售部-山东区域</v>
          </cell>
          <cell r="C142" t="str">
            <v>业务代表</v>
          </cell>
        </row>
        <row r="143">
          <cell r="A143" t="str">
            <v>李通</v>
          </cell>
          <cell r="B143" t="str">
            <v>互联网事业部-大宗销售部-山东区域</v>
          </cell>
          <cell r="C143" t="str">
            <v>业务代表</v>
          </cell>
        </row>
        <row r="144">
          <cell r="A144" t="str">
            <v>李通</v>
          </cell>
          <cell r="B144" t="str">
            <v>互联网事业部-大宗销售部-山东区域</v>
          </cell>
          <cell r="C144" t="str">
            <v>业务代表</v>
          </cell>
        </row>
        <row r="145">
          <cell r="A145" t="str">
            <v>李通</v>
          </cell>
          <cell r="B145" t="str">
            <v>互联网事业部-大宗销售部-山东区域</v>
          </cell>
          <cell r="C145" t="str">
            <v>业务代表</v>
          </cell>
        </row>
        <row r="146">
          <cell r="A146" t="str">
            <v>王希然</v>
          </cell>
          <cell r="B146" t="str">
            <v>互联网事业部-大宗销售部-西南战区-云贵区域</v>
          </cell>
          <cell r="C146" t="str">
            <v>区域经理</v>
          </cell>
        </row>
        <row r="147">
          <cell r="A147" t="str">
            <v>王希然</v>
          </cell>
          <cell r="B147" t="str">
            <v>互联网事业部-大宗销售部-西南战区-云贵区域</v>
          </cell>
          <cell r="C147" t="str">
            <v>区域经理</v>
          </cell>
        </row>
        <row r="148">
          <cell r="A148" t="str">
            <v>王希然</v>
          </cell>
          <cell r="B148" t="str">
            <v>互联网事业部-大宗销售部-西南战区-云贵区域</v>
          </cell>
          <cell r="C148" t="str">
            <v>区域经理</v>
          </cell>
        </row>
        <row r="149">
          <cell r="A149" t="str">
            <v>章光富</v>
          </cell>
          <cell r="B149" t="str">
            <v>互联网事业部-大宗销售部-西南战区-川渝区域</v>
          </cell>
          <cell r="C149" t="str">
            <v>战区经理</v>
          </cell>
        </row>
        <row r="150">
          <cell r="A150" t="str">
            <v>章光富</v>
          </cell>
          <cell r="B150" t="str">
            <v>互联网事业部-大宗销售部-西南战区-川渝区域</v>
          </cell>
          <cell r="C150" t="str">
            <v>战区经理</v>
          </cell>
        </row>
        <row r="151">
          <cell r="A151" t="str">
            <v>章光富</v>
          </cell>
          <cell r="B151" t="str">
            <v>互联网事业部-大宗销售部-西南战区-川渝区域</v>
          </cell>
          <cell r="C151" t="str">
            <v>战区经理</v>
          </cell>
        </row>
        <row r="152">
          <cell r="A152" t="str">
            <v>章光富</v>
          </cell>
          <cell r="B152" t="str">
            <v>互联网事业部-大宗销售部-西南战区-川渝区域</v>
          </cell>
          <cell r="C152" t="str">
            <v>战区经理</v>
          </cell>
        </row>
        <row r="153">
          <cell r="A153" t="str">
            <v>王岩</v>
          </cell>
          <cell r="B153" t="str">
            <v>互联网事业部-大宗销售部-北方战区-黑吉区域</v>
          </cell>
          <cell r="C153" t="str">
            <v>业务代表</v>
          </cell>
        </row>
        <row r="154">
          <cell r="A154" t="str">
            <v>王岩</v>
          </cell>
          <cell r="B154" t="str">
            <v>互联网事业部-大宗销售部-北方战区-黑吉区域</v>
          </cell>
          <cell r="C154" t="str">
            <v>业务代表</v>
          </cell>
        </row>
        <row r="155">
          <cell r="A155" t="str">
            <v>王岩</v>
          </cell>
          <cell r="B155" t="str">
            <v>互联网事业部-大宗销售部-北方战区-黑吉区域</v>
          </cell>
          <cell r="C155" t="str">
            <v>业务代表</v>
          </cell>
        </row>
        <row r="156">
          <cell r="A156" t="str">
            <v>王岩</v>
          </cell>
          <cell r="B156" t="str">
            <v>互联网事业部-大宗销售部-北方战区-黑吉区域</v>
          </cell>
          <cell r="C156" t="str">
            <v>业务代表</v>
          </cell>
        </row>
        <row r="157">
          <cell r="A157" t="str">
            <v>王岩</v>
          </cell>
          <cell r="B157" t="str">
            <v>互联网事业部-大宗销售部-北方战区-黑吉区域</v>
          </cell>
          <cell r="C157" t="str">
            <v>业务代表</v>
          </cell>
        </row>
        <row r="158">
          <cell r="A158" t="str">
            <v>徐帅</v>
          </cell>
          <cell r="B158" t="str">
            <v>互联网事业部-大宗销售部-华中区域</v>
          </cell>
          <cell r="C158" t="str">
            <v>业务代表</v>
          </cell>
        </row>
        <row r="159">
          <cell r="A159" t="str">
            <v>徐帅</v>
          </cell>
          <cell r="B159" t="str">
            <v>互联网事业部-大宗销售部-华中区域</v>
          </cell>
          <cell r="C159" t="str">
            <v>业务代表</v>
          </cell>
        </row>
        <row r="160">
          <cell r="A160" t="str">
            <v>徐帅</v>
          </cell>
          <cell r="B160" t="str">
            <v>互联网事业部-大宗销售部-华中区域</v>
          </cell>
          <cell r="C160" t="str">
            <v>业务代表</v>
          </cell>
        </row>
        <row r="161">
          <cell r="A161" t="str">
            <v>徐帅</v>
          </cell>
          <cell r="B161" t="str">
            <v>互联网事业部-大宗销售部-华中区域</v>
          </cell>
          <cell r="C161" t="str">
            <v>业务代表</v>
          </cell>
        </row>
        <row r="162">
          <cell r="A162" t="str">
            <v>徐帅</v>
          </cell>
          <cell r="B162" t="str">
            <v>互联网事业部-大宗销售部-华中区域</v>
          </cell>
          <cell r="C162" t="str">
            <v>业务代表</v>
          </cell>
        </row>
        <row r="163">
          <cell r="A163" t="str">
            <v>王一</v>
          </cell>
          <cell r="B163" t="str">
            <v>互联网事业部-大宗销售部-山东区域</v>
          </cell>
          <cell r="C163" t="str">
            <v>业务代表</v>
          </cell>
        </row>
        <row r="164">
          <cell r="A164" t="str">
            <v>王一</v>
          </cell>
          <cell r="B164" t="str">
            <v>互联网事业部-大宗销售部-山东区域</v>
          </cell>
          <cell r="C164" t="str">
            <v>业务代表</v>
          </cell>
        </row>
        <row r="165">
          <cell r="A165" t="str">
            <v>王一</v>
          </cell>
          <cell r="B165" t="str">
            <v>互联网事业部-大宗销售部-山东区域</v>
          </cell>
          <cell r="C165" t="str">
            <v>业务代表</v>
          </cell>
        </row>
        <row r="166">
          <cell r="A166" t="str">
            <v>王一</v>
          </cell>
          <cell r="B166" t="str">
            <v>互联网事业部-大宗销售部-山东区域</v>
          </cell>
          <cell r="C166" t="str">
            <v>业务代表</v>
          </cell>
        </row>
        <row r="167">
          <cell r="A167" t="str">
            <v>王一</v>
          </cell>
          <cell r="B167" t="str">
            <v>互联网事业部-大宗销售部-山东区域</v>
          </cell>
          <cell r="C167" t="str">
            <v>业务代表</v>
          </cell>
        </row>
        <row r="168">
          <cell r="A168" t="str">
            <v>刘旭龙</v>
          </cell>
          <cell r="B168" t="str">
            <v>互联网事业部-大宗销售部-河北区域</v>
          </cell>
          <cell r="C168" t="str">
            <v>业务代表</v>
          </cell>
        </row>
        <row r="169">
          <cell r="A169" t="str">
            <v>刘旭龙</v>
          </cell>
          <cell r="B169" t="str">
            <v>互联网事业部-大宗销售部-河北区域</v>
          </cell>
          <cell r="C169" t="str">
            <v>业务代表</v>
          </cell>
        </row>
        <row r="170">
          <cell r="A170" t="str">
            <v>刘旭龙</v>
          </cell>
          <cell r="B170" t="str">
            <v>互联网事业部-大宗销售部-河北区域</v>
          </cell>
          <cell r="C170" t="str">
            <v>业务代表</v>
          </cell>
        </row>
        <row r="171">
          <cell r="A171" t="str">
            <v>刘旭龙</v>
          </cell>
          <cell r="B171" t="str">
            <v>互联网事业部-大宗销售部-河北区域</v>
          </cell>
          <cell r="C171" t="str">
            <v>业务代表</v>
          </cell>
        </row>
        <row r="172">
          <cell r="A172" t="str">
            <v>刘旭龙</v>
          </cell>
          <cell r="B172" t="str">
            <v>互联网事业部-大宗销售部-河北区域</v>
          </cell>
          <cell r="C172" t="str">
            <v>业务代表</v>
          </cell>
        </row>
        <row r="173">
          <cell r="A173" t="str">
            <v>马骏</v>
          </cell>
          <cell r="B173" t="str">
            <v>互联网事业部-大宗销售部-河北区域</v>
          </cell>
          <cell r="C173" t="str">
            <v>业务代表</v>
          </cell>
        </row>
        <row r="174">
          <cell r="A174" t="str">
            <v>马骏</v>
          </cell>
          <cell r="B174" t="str">
            <v>互联网事业部-大宗销售部-河北区域</v>
          </cell>
          <cell r="C174" t="str">
            <v>业务代表</v>
          </cell>
        </row>
        <row r="175">
          <cell r="A175" t="str">
            <v>马骏</v>
          </cell>
          <cell r="B175" t="str">
            <v>互联网事业部-大宗销售部-河北区域</v>
          </cell>
          <cell r="C175" t="str">
            <v>业务代表</v>
          </cell>
        </row>
        <row r="176">
          <cell r="A176" t="str">
            <v>马骏</v>
          </cell>
          <cell r="B176" t="str">
            <v>互联网事业部-大宗销售部-河北区域</v>
          </cell>
          <cell r="C176" t="str">
            <v>业务代表</v>
          </cell>
        </row>
        <row r="177">
          <cell r="A177" t="str">
            <v>高阔</v>
          </cell>
          <cell r="B177" t="str">
            <v>互联网事业部-大宗销售部-河北区域</v>
          </cell>
          <cell r="C177" t="str">
            <v>业务代表</v>
          </cell>
        </row>
        <row r="178">
          <cell r="A178" t="str">
            <v>高阔</v>
          </cell>
          <cell r="B178" t="str">
            <v>互联网事业部-大宗销售部-河北区域</v>
          </cell>
          <cell r="C178" t="str">
            <v>业务代表</v>
          </cell>
        </row>
        <row r="179">
          <cell r="A179" t="str">
            <v>高阔</v>
          </cell>
          <cell r="B179" t="str">
            <v>互联网事业部-大宗销售部-河北区域</v>
          </cell>
          <cell r="C179" t="str">
            <v>业务代表</v>
          </cell>
        </row>
        <row r="180">
          <cell r="A180" t="str">
            <v>高阔</v>
          </cell>
          <cell r="B180" t="str">
            <v>互联网事业部-大宗销售部-河北区域</v>
          </cell>
          <cell r="C180" t="str">
            <v>业务代表</v>
          </cell>
        </row>
        <row r="181">
          <cell r="A181" t="str">
            <v>高阔</v>
          </cell>
          <cell r="B181" t="str">
            <v>互联网事业部-大宗销售部-河北区域</v>
          </cell>
          <cell r="C181" t="str">
            <v>业务代表</v>
          </cell>
        </row>
        <row r="182">
          <cell r="A182" t="str">
            <v>黄铭越</v>
          </cell>
          <cell r="B182" t="str">
            <v>互联网事业部-大宗销售部-西南战区-川渝区域</v>
          </cell>
          <cell r="C182" t="str">
            <v>业务代表</v>
          </cell>
        </row>
        <row r="183">
          <cell r="A183" t="str">
            <v>黄铭越</v>
          </cell>
          <cell r="B183" t="str">
            <v>互联网事业部-大宗销售部-西南战区-川渝区域</v>
          </cell>
          <cell r="C183" t="str">
            <v>业务代表</v>
          </cell>
        </row>
        <row r="184">
          <cell r="A184" t="str">
            <v>黄铭越</v>
          </cell>
          <cell r="B184" t="str">
            <v>互联网事业部-大宗销售部-西南战区-川渝区域</v>
          </cell>
          <cell r="C184" t="str">
            <v>业务代表</v>
          </cell>
        </row>
        <row r="185">
          <cell r="A185" t="str">
            <v>黄铭越</v>
          </cell>
          <cell r="B185" t="str">
            <v>互联网事业部-大宗销售部-西南战区-川渝区域</v>
          </cell>
          <cell r="C185" t="str">
            <v>业务代表</v>
          </cell>
        </row>
        <row r="186">
          <cell r="A186" t="str">
            <v>黄铭越</v>
          </cell>
          <cell r="B186" t="str">
            <v>互联网事业部-大宗销售部-西南战区-川渝区域</v>
          </cell>
          <cell r="C186" t="str">
            <v>业务代表</v>
          </cell>
        </row>
        <row r="187">
          <cell r="A187" t="str">
            <v>牛晓东</v>
          </cell>
          <cell r="B187" t="str">
            <v>互联网事业部-大宗销售部-河北区域</v>
          </cell>
          <cell r="C187" t="str">
            <v>业务代表</v>
          </cell>
        </row>
        <row r="188">
          <cell r="A188" t="str">
            <v>牛晓东</v>
          </cell>
          <cell r="B188" t="str">
            <v>互联网事业部-大宗销售部-河北区域</v>
          </cell>
          <cell r="C188" t="str">
            <v>业务代表</v>
          </cell>
        </row>
        <row r="189">
          <cell r="A189" t="str">
            <v>牛晓东</v>
          </cell>
          <cell r="B189" t="str">
            <v>互联网事业部-大宗销售部-河北区域</v>
          </cell>
          <cell r="C189" t="str">
            <v>业务代表</v>
          </cell>
        </row>
        <row r="190">
          <cell r="A190" t="str">
            <v>牛晓东</v>
          </cell>
          <cell r="B190" t="str">
            <v>互联网事业部-大宗销售部-河北区域</v>
          </cell>
          <cell r="C190" t="str">
            <v>业务代表</v>
          </cell>
        </row>
        <row r="191">
          <cell r="A191" t="str">
            <v>牛晓东</v>
          </cell>
          <cell r="B191" t="str">
            <v>互联网事业部-大宗销售部-河北区域</v>
          </cell>
          <cell r="C191" t="str">
            <v>业务代表</v>
          </cell>
        </row>
        <row r="192">
          <cell r="A192" t="str">
            <v>朱海峰</v>
          </cell>
          <cell r="B192" t="str">
            <v>互联网事业部-大宗销售部-北方战区-甘宁区域</v>
          </cell>
          <cell r="C192" t="str">
            <v>业务代表</v>
          </cell>
        </row>
        <row r="193">
          <cell r="A193" t="str">
            <v>朱海峰</v>
          </cell>
          <cell r="B193" t="str">
            <v>互联网事业部-大宗销售部-北方战区-甘宁区域</v>
          </cell>
          <cell r="C193" t="str">
            <v>业务代表</v>
          </cell>
        </row>
        <row r="194">
          <cell r="A194" t="str">
            <v>朱海峰</v>
          </cell>
          <cell r="B194" t="str">
            <v>互联网事业部-大宗销售部-北方战区-甘宁区域</v>
          </cell>
          <cell r="C194" t="str">
            <v>业务代表</v>
          </cell>
        </row>
        <row r="195">
          <cell r="A195" t="str">
            <v>朱海峰</v>
          </cell>
          <cell r="B195" t="str">
            <v>互联网事业部-大宗销售部-北方战区-甘宁区域</v>
          </cell>
          <cell r="C195" t="str">
            <v>业务代表</v>
          </cell>
        </row>
        <row r="196">
          <cell r="A196" t="str">
            <v>朱海峰</v>
          </cell>
          <cell r="B196" t="str">
            <v>互联网事业部-大宗销售部-北方战区-甘宁区域</v>
          </cell>
          <cell r="C196" t="str">
            <v>业务代表</v>
          </cell>
        </row>
        <row r="197">
          <cell r="A197" t="str">
            <v>李云鹤</v>
          </cell>
          <cell r="B197" t="str">
            <v>互联网事业部-大宗销售部-北方战区-辽宁区域</v>
          </cell>
          <cell r="C197" t="str">
            <v>业务代表</v>
          </cell>
        </row>
        <row r="198">
          <cell r="A198" t="str">
            <v>李云鹤</v>
          </cell>
          <cell r="B198" t="str">
            <v>互联网事业部-大宗销售部-北方战区-辽宁区域</v>
          </cell>
          <cell r="C198" t="str">
            <v>业务代表</v>
          </cell>
        </row>
        <row r="199">
          <cell r="A199" t="str">
            <v>李云鹤</v>
          </cell>
          <cell r="B199" t="str">
            <v>互联网事业部-大宗销售部-北方战区-辽宁区域</v>
          </cell>
          <cell r="C199" t="str">
            <v>业务代表</v>
          </cell>
        </row>
        <row r="200">
          <cell r="A200" t="str">
            <v>李云鹤</v>
          </cell>
          <cell r="B200" t="str">
            <v>互联网事业部-大宗销售部-北方战区-辽宁区域</v>
          </cell>
          <cell r="C200" t="str">
            <v>业务代表</v>
          </cell>
        </row>
        <row r="201">
          <cell r="A201" t="str">
            <v>李云鹤</v>
          </cell>
          <cell r="B201" t="str">
            <v>互联网事业部-大宗销售部-北方战区-辽宁区域</v>
          </cell>
          <cell r="C201" t="str">
            <v>业务代表</v>
          </cell>
        </row>
        <row r="202">
          <cell r="A202" t="str">
            <v>李云鹤</v>
          </cell>
          <cell r="B202" t="str">
            <v>互联网事业部-大宗销售部-北方战区-辽宁区域</v>
          </cell>
          <cell r="C202" t="str">
            <v>业务代表</v>
          </cell>
        </row>
        <row r="203">
          <cell r="A203" t="str">
            <v>李财</v>
          </cell>
          <cell r="B203" t="str">
            <v>互联网事业部-大宗销售部-西南战区-川渝区域</v>
          </cell>
          <cell r="C203" t="str">
            <v>业务代表</v>
          </cell>
        </row>
        <row r="204">
          <cell r="A204" t="str">
            <v>李财</v>
          </cell>
          <cell r="B204" t="str">
            <v>互联网事业部-大宗销售部-西南战区-川渝区域</v>
          </cell>
          <cell r="C204" t="str">
            <v>业务代表</v>
          </cell>
        </row>
        <row r="205">
          <cell r="A205" t="str">
            <v>李财</v>
          </cell>
          <cell r="B205" t="str">
            <v>互联网事业部-大宗销售部-西南战区-川渝区域</v>
          </cell>
          <cell r="C205" t="str">
            <v>业务代表</v>
          </cell>
        </row>
        <row r="206">
          <cell r="A206" t="str">
            <v>李财</v>
          </cell>
          <cell r="B206" t="str">
            <v>互联网事业部-大宗销售部-西南战区-川渝区域</v>
          </cell>
          <cell r="C206" t="str">
            <v>业务代表</v>
          </cell>
        </row>
        <row r="207">
          <cell r="A207" t="str">
            <v>李财</v>
          </cell>
          <cell r="B207" t="str">
            <v>互联网事业部-大宗销售部-西南战区-川渝区域</v>
          </cell>
          <cell r="C207" t="str">
            <v>业务代表</v>
          </cell>
        </row>
        <row r="208">
          <cell r="A208" t="str">
            <v>陈耀宾</v>
          </cell>
          <cell r="B208" t="str">
            <v>互联网事业部-大宗销售部-北方战区-羊窝项目组</v>
          </cell>
          <cell r="C208" t="str">
            <v>业务代表</v>
          </cell>
        </row>
        <row r="209">
          <cell r="A209" t="str">
            <v>陈耀宾</v>
          </cell>
          <cell r="B209" t="str">
            <v>互联网事业部-大宗销售部-北方战区-羊窝项目组</v>
          </cell>
          <cell r="C209" t="str">
            <v>业务代表</v>
          </cell>
        </row>
        <row r="210">
          <cell r="A210" t="str">
            <v>陈耀宾</v>
          </cell>
          <cell r="B210" t="str">
            <v>互联网事业部-大宗销售部-北方战区-羊窝项目组</v>
          </cell>
          <cell r="C210" t="str">
            <v>业务代表</v>
          </cell>
        </row>
        <row r="211">
          <cell r="A211" t="str">
            <v>陈耀宾</v>
          </cell>
          <cell r="B211" t="str">
            <v>互联网事业部-大宗销售部-北方战区-羊窝项目组</v>
          </cell>
          <cell r="C211" t="str">
            <v>业务代表</v>
          </cell>
        </row>
        <row r="212">
          <cell r="A212" t="str">
            <v>朱宗鑫</v>
          </cell>
          <cell r="B212" t="str">
            <v>互联网事业部-大宗销售部-西南战区-云贵区域</v>
          </cell>
          <cell r="C212" t="str">
            <v>业务代表</v>
          </cell>
        </row>
        <row r="213">
          <cell r="A213" t="str">
            <v>朱宗鑫</v>
          </cell>
          <cell r="B213" t="str">
            <v>互联网事业部-大宗销售部-西南战区-云贵区域</v>
          </cell>
          <cell r="C213" t="str">
            <v>业务代表</v>
          </cell>
        </row>
        <row r="214">
          <cell r="A214" t="str">
            <v>朱宗鑫</v>
          </cell>
          <cell r="B214" t="str">
            <v>互联网事业部-大宗销售部-西南战区-云贵区域</v>
          </cell>
          <cell r="C214" t="str">
            <v>业务代表</v>
          </cell>
        </row>
        <row r="215">
          <cell r="A215" t="str">
            <v>朱宗鑫</v>
          </cell>
          <cell r="B215" t="str">
            <v>互联网事业部-大宗销售部-西南战区-云贵区域</v>
          </cell>
          <cell r="C215" t="str">
            <v>业务代表</v>
          </cell>
        </row>
        <row r="216">
          <cell r="A216" t="str">
            <v>朱宗鑫</v>
          </cell>
          <cell r="B216" t="str">
            <v>互联网事业部-大宗销售部-西南战区-云贵区域</v>
          </cell>
          <cell r="C216" t="str">
            <v>业务代表</v>
          </cell>
        </row>
        <row r="217">
          <cell r="A217" t="str">
            <v>陈鹏</v>
          </cell>
          <cell r="B217" t="str">
            <v>互联网事业部-大宗销售部-北方战区-黑吉区域</v>
          </cell>
          <cell r="C217" t="str">
            <v>业务代表</v>
          </cell>
        </row>
        <row r="218">
          <cell r="A218" t="str">
            <v>陈鹏</v>
          </cell>
          <cell r="B218" t="str">
            <v>互联网事业部-大宗销售部-北方战区-黑吉区域</v>
          </cell>
          <cell r="C218" t="str">
            <v>业务代表</v>
          </cell>
        </row>
        <row r="219">
          <cell r="A219" t="str">
            <v>陈鹏</v>
          </cell>
          <cell r="B219" t="str">
            <v>互联网事业部-大宗销售部-北方战区-黑吉区域</v>
          </cell>
          <cell r="C219" t="str">
            <v>业务代表</v>
          </cell>
        </row>
        <row r="220">
          <cell r="A220" t="str">
            <v>陈鹏</v>
          </cell>
          <cell r="B220" t="str">
            <v>互联网事业部-大宗销售部-北方战区-黑吉区域</v>
          </cell>
          <cell r="C220" t="str">
            <v>业务代表</v>
          </cell>
        </row>
        <row r="221">
          <cell r="A221" t="str">
            <v>陈鹏</v>
          </cell>
          <cell r="B221" t="str">
            <v>互联网事业部-大宗销售部-北方战区-黑吉区域</v>
          </cell>
          <cell r="C221" t="str">
            <v>业务代表</v>
          </cell>
        </row>
        <row r="222">
          <cell r="A222" t="str">
            <v>施昊</v>
          </cell>
          <cell r="B222" t="str">
            <v>互联网事业部-大宗销售部-西南战区-云贵区域</v>
          </cell>
          <cell r="C222" t="str">
            <v>业务代表</v>
          </cell>
        </row>
        <row r="223">
          <cell r="A223" t="str">
            <v>施昊</v>
          </cell>
          <cell r="B223" t="str">
            <v>互联网事业部-大宗销售部-西南战区-云贵区域</v>
          </cell>
          <cell r="C223" t="str">
            <v>业务代表</v>
          </cell>
        </row>
        <row r="224">
          <cell r="A224" t="str">
            <v>施昊</v>
          </cell>
          <cell r="B224" t="str">
            <v>互联网事业部-大宗销售部-西南战区-云贵区域</v>
          </cell>
          <cell r="C224" t="str">
            <v>业务代表</v>
          </cell>
        </row>
        <row r="225">
          <cell r="A225" t="str">
            <v>施昊</v>
          </cell>
          <cell r="B225" t="str">
            <v>互联网事业部-大宗销售部-西南战区-云贵区域</v>
          </cell>
          <cell r="C225" t="str">
            <v>业务代表</v>
          </cell>
        </row>
        <row r="226">
          <cell r="A226" t="str">
            <v>张青川</v>
          </cell>
          <cell r="B226" t="str">
            <v>互联网事业部-大宗销售部-西南战区-川渝区域</v>
          </cell>
          <cell r="C226" t="str">
            <v>业务代表</v>
          </cell>
        </row>
        <row r="227">
          <cell r="A227" t="str">
            <v>张青川</v>
          </cell>
          <cell r="B227" t="str">
            <v>互联网事业部-大宗销售部-西南战区-川渝区域</v>
          </cell>
          <cell r="C227" t="str">
            <v>业务代表</v>
          </cell>
        </row>
        <row r="228">
          <cell r="A228" t="str">
            <v>张青川</v>
          </cell>
          <cell r="B228" t="str">
            <v>互联网事业部-大宗销售部-西南战区-川渝区域</v>
          </cell>
          <cell r="C228" t="str">
            <v>业务代表</v>
          </cell>
        </row>
        <row r="229">
          <cell r="A229" t="str">
            <v>张青川</v>
          </cell>
          <cell r="B229" t="str">
            <v>互联网事业部-大宗销售部-西南战区-川渝区域</v>
          </cell>
          <cell r="C229" t="str">
            <v>业务代表</v>
          </cell>
        </row>
        <row r="230">
          <cell r="A230" t="str">
            <v>张青川</v>
          </cell>
          <cell r="B230" t="str">
            <v>互联网事业部-大宗销售部-西南战区-川渝区域</v>
          </cell>
          <cell r="C230" t="str">
            <v>业务代表</v>
          </cell>
        </row>
        <row r="231">
          <cell r="A231" t="str">
            <v>张桐菓</v>
          </cell>
          <cell r="B231" t="str">
            <v>互联网事业部-大宗销售部-河南区域</v>
          </cell>
          <cell r="C231" t="str">
            <v>业务代表</v>
          </cell>
        </row>
        <row r="232">
          <cell r="A232" t="str">
            <v>张桐菓</v>
          </cell>
          <cell r="B232" t="str">
            <v>互联网事业部-大宗销售部-河南区域</v>
          </cell>
          <cell r="C232" t="str">
            <v>业务代表</v>
          </cell>
        </row>
        <row r="233">
          <cell r="A233" t="str">
            <v>张桐菓</v>
          </cell>
          <cell r="B233" t="str">
            <v>互联网事业部-大宗销售部-河南区域</v>
          </cell>
          <cell r="C233" t="str">
            <v>业务代表</v>
          </cell>
        </row>
        <row r="234">
          <cell r="A234" t="str">
            <v>张桐菓</v>
          </cell>
          <cell r="B234" t="str">
            <v>互联网事业部-大宗销售部-河南区域</v>
          </cell>
          <cell r="C234" t="str">
            <v>业务代表</v>
          </cell>
        </row>
        <row r="235">
          <cell r="A235" t="str">
            <v>张桐菓</v>
          </cell>
          <cell r="B235" t="str">
            <v>互联网事业部-大宗销售部-河南区域</v>
          </cell>
          <cell r="C235" t="str">
            <v>业务代表</v>
          </cell>
        </row>
        <row r="236">
          <cell r="A236" t="str">
            <v>王运寄</v>
          </cell>
          <cell r="B236" t="str">
            <v>互联网事业部-大宗销售部-华中区域</v>
          </cell>
          <cell r="C236" t="str">
            <v>业务代表</v>
          </cell>
        </row>
        <row r="237">
          <cell r="A237" t="str">
            <v>王运寄</v>
          </cell>
          <cell r="B237" t="str">
            <v>互联网事业部-大宗销售部-华中区域</v>
          </cell>
          <cell r="C237" t="str">
            <v>业务代表</v>
          </cell>
        </row>
        <row r="238">
          <cell r="A238" t="str">
            <v>王运寄</v>
          </cell>
          <cell r="B238" t="str">
            <v>互联网事业部-大宗销售部-华中区域</v>
          </cell>
          <cell r="C238" t="str">
            <v>业务代表</v>
          </cell>
        </row>
        <row r="239">
          <cell r="A239" t="str">
            <v>王运寄</v>
          </cell>
          <cell r="B239" t="str">
            <v>互联网事业部-大宗销售部-华中区域</v>
          </cell>
          <cell r="C239" t="str">
            <v>业务代表</v>
          </cell>
        </row>
        <row r="240">
          <cell r="A240" t="str">
            <v>王运寄</v>
          </cell>
          <cell r="B240" t="str">
            <v>互联网事业部-大宗销售部-华中区域</v>
          </cell>
          <cell r="C240" t="str">
            <v>业务代表</v>
          </cell>
        </row>
        <row r="241">
          <cell r="A241" t="str">
            <v>孙玄</v>
          </cell>
          <cell r="B241" t="str">
            <v>互联网事业部-大宗销售部-北方战区-甘宁区域</v>
          </cell>
          <cell r="C241" t="str">
            <v>业务代表</v>
          </cell>
        </row>
        <row r="242">
          <cell r="A242" t="str">
            <v>孙玄</v>
          </cell>
          <cell r="B242" t="str">
            <v>互联网事业部-大宗销售部-北方战区-甘宁区域</v>
          </cell>
          <cell r="C242" t="str">
            <v>业务代表</v>
          </cell>
        </row>
        <row r="243">
          <cell r="A243" t="str">
            <v>孙玄</v>
          </cell>
          <cell r="B243" t="str">
            <v>互联网事业部-大宗销售部-北方战区-甘宁区域</v>
          </cell>
          <cell r="C243" t="str">
            <v>业务代表</v>
          </cell>
        </row>
        <row r="244">
          <cell r="A244" t="str">
            <v>孙玄</v>
          </cell>
          <cell r="B244" t="str">
            <v>互联网事业部-大宗销售部-北方战区-甘宁区域</v>
          </cell>
          <cell r="C244" t="str">
            <v>业务代表</v>
          </cell>
        </row>
        <row r="245">
          <cell r="A245" t="str">
            <v>孙玄</v>
          </cell>
          <cell r="B245" t="str">
            <v>互联网事业部-大宗销售部-北方战区-甘宁区域</v>
          </cell>
          <cell r="C245" t="str">
            <v>业务代表</v>
          </cell>
        </row>
        <row r="246">
          <cell r="A246" t="str">
            <v>靳高阳</v>
          </cell>
          <cell r="B246" t="str">
            <v>互联网事业部-大宗销售部-河北区域</v>
          </cell>
          <cell r="C246" t="str">
            <v>业务代表</v>
          </cell>
        </row>
        <row r="247">
          <cell r="A247" t="str">
            <v>靳高阳</v>
          </cell>
          <cell r="B247" t="str">
            <v>互联网事业部-大宗销售部-河北区域</v>
          </cell>
          <cell r="C247" t="str">
            <v>业务代表</v>
          </cell>
        </row>
        <row r="248">
          <cell r="A248" t="str">
            <v>靳高阳</v>
          </cell>
          <cell r="B248" t="str">
            <v>互联网事业部-大宗销售部-河北区域</v>
          </cell>
          <cell r="C248" t="str">
            <v>业务代表</v>
          </cell>
        </row>
        <row r="249">
          <cell r="A249" t="str">
            <v>靳高阳</v>
          </cell>
          <cell r="B249" t="str">
            <v>互联网事业部-大宗销售部-河北区域</v>
          </cell>
          <cell r="C249" t="str">
            <v>业务代表</v>
          </cell>
        </row>
        <row r="250">
          <cell r="A250" t="str">
            <v>靳高阳</v>
          </cell>
          <cell r="B250" t="str">
            <v>互联网事业部-大宗销售部-河北区域</v>
          </cell>
          <cell r="C250" t="str">
            <v>业务代表</v>
          </cell>
        </row>
        <row r="251">
          <cell r="A251" t="str">
            <v>靳高阳</v>
          </cell>
          <cell r="B251" t="str">
            <v>互联网事业部-大宗销售部-河北区域</v>
          </cell>
          <cell r="C251" t="str">
            <v>业务代表</v>
          </cell>
        </row>
        <row r="252">
          <cell r="A252" t="str">
            <v>郭景婷</v>
          </cell>
          <cell r="B252" t="str">
            <v>互联网事业部-大宗销售部-北方战区-晋陕区域</v>
          </cell>
          <cell r="C252" t="str">
            <v>业务代表</v>
          </cell>
        </row>
        <row r="253">
          <cell r="A253" t="str">
            <v>郭景婷</v>
          </cell>
          <cell r="B253" t="str">
            <v>互联网事业部-大宗销售部-北方战区-晋陕区域</v>
          </cell>
          <cell r="C253" t="str">
            <v>业务代表</v>
          </cell>
        </row>
        <row r="254">
          <cell r="A254" t="str">
            <v>郭景婷</v>
          </cell>
          <cell r="B254" t="str">
            <v>互联网事业部-大宗销售部-北方战区-晋陕区域</v>
          </cell>
          <cell r="C254" t="str">
            <v>业务代表</v>
          </cell>
        </row>
        <row r="255">
          <cell r="A255" t="str">
            <v>郭景婷</v>
          </cell>
          <cell r="B255" t="str">
            <v>互联网事业部-大宗销售部-北方战区-晋陕区域</v>
          </cell>
          <cell r="C255" t="str">
            <v>业务代表</v>
          </cell>
        </row>
        <row r="256">
          <cell r="A256" t="str">
            <v>郭景婷</v>
          </cell>
          <cell r="B256" t="str">
            <v>互联网事业部-大宗销售部-北方战区-晋陕区域</v>
          </cell>
          <cell r="C256" t="str">
            <v>业务代表</v>
          </cell>
        </row>
        <row r="257">
          <cell r="A257" t="str">
            <v>康学磊</v>
          </cell>
          <cell r="B257" t="str">
            <v>互联网事业部-大宗销售部-北方战区-晋陕区域</v>
          </cell>
          <cell r="C257" t="str">
            <v>业务代表</v>
          </cell>
        </row>
        <row r="258">
          <cell r="A258" t="str">
            <v>康学磊</v>
          </cell>
          <cell r="B258" t="str">
            <v>互联网事业部-大宗销售部-北方战区-晋陕区域</v>
          </cell>
          <cell r="C258" t="str">
            <v>业务代表</v>
          </cell>
        </row>
        <row r="259">
          <cell r="A259" t="str">
            <v>康学磊</v>
          </cell>
          <cell r="B259" t="str">
            <v>互联网事业部-大宗销售部-北方战区-晋陕区域</v>
          </cell>
          <cell r="C259" t="str">
            <v>业务代表</v>
          </cell>
        </row>
        <row r="260">
          <cell r="A260" t="str">
            <v>康学磊</v>
          </cell>
          <cell r="B260" t="str">
            <v>互联网事业部-大宗销售部-北方战区-晋陕区域</v>
          </cell>
          <cell r="C260" t="str">
            <v>业务代表</v>
          </cell>
        </row>
        <row r="261">
          <cell r="A261" t="str">
            <v>康学磊</v>
          </cell>
          <cell r="B261" t="str">
            <v>互联网事业部-大宗销售部-北方战区-晋陕区域</v>
          </cell>
          <cell r="C261" t="str">
            <v>业务代表</v>
          </cell>
        </row>
        <row r="262">
          <cell r="A262" t="str">
            <v>赵子涵</v>
          </cell>
          <cell r="B262" t="str">
            <v>互联网事业部-大宗销售部-北方战区-黑吉区域</v>
          </cell>
          <cell r="C262" t="str">
            <v>区域经理</v>
          </cell>
        </row>
        <row r="263">
          <cell r="A263" t="str">
            <v>赵子涵</v>
          </cell>
          <cell r="B263" t="str">
            <v>互联网事业部-大宗销售部-北方战区-黑吉区域</v>
          </cell>
          <cell r="C263" t="str">
            <v>区域经理</v>
          </cell>
        </row>
        <row r="264">
          <cell r="A264" t="str">
            <v>赵子涵</v>
          </cell>
          <cell r="B264" t="str">
            <v>互联网事业部-大宗销售部-北方战区-黑吉区域</v>
          </cell>
          <cell r="C264" t="str">
            <v>区域经理</v>
          </cell>
        </row>
        <row r="265">
          <cell r="A265" t="str">
            <v>武治国</v>
          </cell>
          <cell r="B265" t="str">
            <v>互联网事业部-大宗销售部-北方战区-羊窝项目组</v>
          </cell>
          <cell r="C265" t="str">
            <v>业务代表</v>
          </cell>
        </row>
        <row r="266">
          <cell r="A266" t="str">
            <v>武治国</v>
          </cell>
          <cell r="B266" t="str">
            <v>互联网事业部-大宗销售部-北方战区-羊窝项目组</v>
          </cell>
          <cell r="C266" t="str">
            <v>业务代表</v>
          </cell>
        </row>
        <row r="267">
          <cell r="A267" t="str">
            <v>武治国</v>
          </cell>
          <cell r="B267" t="str">
            <v>互联网事业部-大宗销售部-北方战区-羊窝项目组</v>
          </cell>
          <cell r="C267" t="str">
            <v>业务代表</v>
          </cell>
        </row>
        <row r="268">
          <cell r="A268" t="str">
            <v>武治国</v>
          </cell>
          <cell r="B268" t="str">
            <v>互联网事业部-大宗销售部-北方战区-羊窝项目组</v>
          </cell>
          <cell r="C268" t="str">
            <v>业务代表</v>
          </cell>
        </row>
        <row r="269">
          <cell r="A269" t="str">
            <v>武治国</v>
          </cell>
          <cell r="B269" t="str">
            <v>互联网事业部-大宗销售部-北方战区-羊窝项目组</v>
          </cell>
          <cell r="C269" t="str">
            <v>业务代表</v>
          </cell>
        </row>
        <row r="270">
          <cell r="A270" t="str">
            <v>谷佳文</v>
          </cell>
          <cell r="B270" t="str">
            <v>互联网事业部-大宗销售部-北方战区-辽宁区域</v>
          </cell>
          <cell r="C270" t="str">
            <v>业务代表</v>
          </cell>
        </row>
        <row r="271">
          <cell r="A271" t="str">
            <v>谷佳文</v>
          </cell>
          <cell r="B271" t="str">
            <v>互联网事业部-大宗销售部-北方战区-辽宁区域</v>
          </cell>
          <cell r="C271" t="str">
            <v>业务代表</v>
          </cell>
        </row>
        <row r="272">
          <cell r="A272" t="str">
            <v>谷佳文</v>
          </cell>
          <cell r="B272" t="str">
            <v>互联网事业部-大宗销售部-北方战区-辽宁区域</v>
          </cell>
          <cell r="C272" t="str">
            <v>业务代表</v>
          </cell>
        </row>
        <row r="273">
          <cell r="A273" t="str">
            <v>谷佳文</v>
          </cell>
          <cell r="B273" t="str">
            <v>互联网事业部-大宗销售部-北方战区-辽宁区域</v>
          </cell>
          <cell r="C273" t="str">
            <v>业务代表</v>
          </cell>
        </row>
        <row r="274">
          <cell r="A274" t="str">
            <v>谷佳文</v>
          </cell>
          <cell r="B274" t="str">
            <v>互联网事业部-大宗销售部-北方战区-辽宁区域</v>
          </cell>
          <cell r="C274" t="str">
            <v>业务代表</v>
          </cell>
        </row>
        <row r="275">
          <cell r="A275" t="str">
            <v>金傲</v>
          </cell>
          <cell r="B275" t="str">
            <v>互联网事业部-大宗销售部-北方战区-辽宁区域</v>
          </cell>
          <cell r="C275" t="str">
            <v>业务代表</v>
          </cell>
        </row>
        <row r="276">
          <cell r="A276" t="str">
            <v>金傲</v>
          </cell>
          <cell r="B276" t="str">
            <v>互联网事业部-大宗销售部-北方战区-辽宁区域</v>
          </cell>
          <cell r="C276" t="str">
            <v>业务代表</v>
          </cell>
        </row>
        <row r="277">
          <cell r="A277" t="str">
            <v>金傲</v>
          </cell>
          <cell r="B277" t="str">
            <v>互联网事业部-大宗销售部-北方战区-辽宁区域</v>
          </cell>
          <cell r="C277" t="str">
            <v>业务代表</v>
          </cell>
        </row>
        <row r="278">
          <cell r="A278" t="str">
            <v>金傲</v>
          </cell>
          <cell r="B278" t="str">
            <v>互联网事业部-大宗销售部-北方战区-辽宁区域</v>
          </cell>
          <cell r="C278" t="str">
            <v>业务代表</v>
          </cell>
        </row>
        <row r="279">
          <cell r="A279" t="str">
            <v>金傲</v>
          </cell>
          <cell r="B279" t="str">
            <v>互联网事业部-大宗销售部-北方战区-辽宁区域</v>
          </cell>
          <cell r="C279" t="str">
            <v>业务代表</v>
          </cell>
        </row>
        <row r="280">
          <cell r="A280" t="str">
            <v>池新昌</v>
          </cell>
          <cell r="B280" t="str">
            <v>互联网事业部-大宗销售部-河北区域</v>
          </cell>
          <cell r="C280" t="str">
            <v>业务代表</v>
          </cell>
        </row>
        <row r="281">
          <cell r="A281" t="str">
            <v>池新昌</v>
          </cell>
          <cell r="B281" t="str">
            <v>互联网事业部-大宗销售部-河北区域</v>
          </cell>
          <cell r="C281" t="str">
            <v>业务代表</v>
          </cell>
        </row>
        <row r="282">
          <cell r="A282" t="str">
            <v>池新昌</v>
          </cell>
          <cell r="B282" t="str">
            <v>互联网事业部-大宗销售部-河北区域</v>
          </cell>
          <cell r="C282" t="str">
            <v>业务代表</v>
          </cell>
        </row>
        <row r="283">
          <cell r="A283" t="str">
            <v>池新昌</v>
          </cell>
          <cell r="B283" t="str">
            <v>互联网事业部-大宗销售部-河北区域</v>
          </cell>
          <cell r="C283" t="str">
            <v>业务代表</v>
          </cell>
        </row>
        <row r="284">
          <cell r="A284" t="str">
            <v>池新昌</v>
          </cell>
          <cell r="B284" t="str">
            <v>互联网事业部-大宗销售部-河北区域</v>
          </cell>
          <cell r="C284" t="str">
            <v>业务代表</v>
          </cell>
        </row>
        <row r="285">
          <cell r="A285" t="str">
            <v>王培杰</v>
          </cell>
          <cell r="B285" t="str">
            <v>互联网事业部-大宗销售部-北方战区-甘宁区域</v>
          </cell>
          <cell r="C285" t="str">
            <v>业务代表</v>
          </cell>
        </row>
        <row r="286">
          <cell r="A286" t="str">
            <v>王培杰</v>
          </cell>
          <cell r="B286" t="str">
            <v>互联网事业部-大宗销售部-北方战区-甘宁区域</v>
          </cell>
          <cell r="C286" t="str">
            <v>业务代表</v>
          </cell>
        </row>
        <row r="287">
          <cell r="A287" t="str">
            <v>王培杰</v>
          </cell>
          <cell r="B287" t="str">
            <v>互联网事业部-大宗销售部-北方战区-甘宁区域</v>
          </cell>
          <cell r="C287" t="str">
            <v>业务代表</v>
          </cell>
        </row>
        <row r="288">
          <cell r="A288" t="str">
            <v>王培杰</v>
          </cell>
          <cell r="B288" t="str">
            <v>互联网事业部-大宗销售部-北方战区-甘宁区域</v>
          </cell>
          <cell r="C288" t="str">
            <v>业务代表</v>
          </cell>
        </row>
        <row r="289">
          <cell r="A289" t="str">
            <v>王培杰</v>
          </cell>
          <cell r="B289" t="str">
            <v>互联网事业部-大宗销售部-北方战区-甘宁区域</v>
          </cell>
          <cell r="C289" t="str">
            <v>业务代表</v>
          </cell>
        </row>
        <row r="290">
          <cell r="A290" t="str">
            <v>张玉明</v>
          </cell>
          <cell r="B290" t="str">
            <v>互联网事业部-大宗销售部-北方战区-甘宁区域</v>
          </cell>
          <cell r="C290" t="str">
            <v>业务代表</v>
          </cell>
        </row>
        <row r="291">
          <cell r="A291" t="str">
            <v>张玉明</v>
          </cell>
          <cell r="B291" t="str">
            <v>互联网事业部-大宗销售部-北方战区-甘宁区域</v>
          </cell>
          <cell r="C291" t="str">
            <v>业务代表</v>
          </cell>
        </row>
        <row r="292">
          <cell r="A292" t="str">
            <v>张玉明</v>
          </cell>
          <cell r="B292" t="str">
            <v>互联网事业部-大宗销售部-北方战区-甘宁区域</v>
          </cell>
          <cell r="C292" t="str">
            <v>业务代表</v>
          </cell>
        </row>
        <row r="293">
          <cell r="A293" t="str">
            <v>张玉明</v>
          </cell>
          <cell r="B293" t="str">
            <v>互联网事业部-大宗销售部-北方战区-甘宁区域</v>
          </cell>
          <cell r="C293" t="str">
            <v>业务代表</v>
          </cell>
        </row>
        <row r="294">
          <cell r="A294" t="str">
            <v>张玉明</v>
          </cell>
          <cell r="B294" t="str">
            <v>互联网事业部-大宗销售部-北方战区-甘宁区域</v>
          </cell>
          <cell r="C294" t="str">
            <v>业务代表</v>
          </cell>
        </row>
        <row r="295">
          <cell r="A295" t="str">
            <v>张天保</v>
          </cell>
          <cell r="B295" t="str">
            <v>互联网事业部-大宗销售部-北方战区-辽宁区域</v>
          </cell>
          <cell r="C295" t="str">
            <v>区域经理</v>
          </cell>
        </row>
        <row r="296">
          <cell r="A296" t="str">
            <v>张天保</v>
          </cell>
          <cell r="B296" t="str">
            <v>互联网事业部-大宗销售部-北方战区-辽宁区域</v>
          </cell>
          <cell r="C296" t="str">
            <v>区域经理</v>
          </cell>
        </row>
        <row r="297">
          <cell r="A297" t="str">
            <v>邝善锴</v>
          </cell>
          <cell r="B297" t="str">
            <v>互联网事业部-大宗销售部-华南区域</v>
          </cell>
          <cell r="C297" t="str">
            <v>区域经理</v>
          </cell>
        </row>
        <row r="298">
          <cell r="A298" t="str">
            <v>邝善锴</v>
          </cell>
          <cell r="B298" t="str">
            <v>互联网事业部-大宗销售部-华南区域</v>
          </cell>
          <cell r="C298" t="str">
            <v>区域经理</v>
          </cell>
        </row>
        <row r="299">
          <cell r="A299" t="str">
            <v>邝善锴</v>
          </cell>
          <cell r="B299" t="str">
            <v>互联网事业部-大宗销售部-华南区域</v>
          </cell>
          <cell r="C299" t="str">
            <v>区域经理</v>
          </cell>
        </row>
        <row r="300">
          <cell r="A300" t="str">
            <v>吕伟伟</v>
          </cell>
          <cell r="B300" t="str">
            <v>互联网事业部-大宗销售部-河南区域</v>
          </cell>
          <cell r="C300" t="str">
            <v>业务代表</v>
          </cell>
        </row>
        <row r="301">
          <cell r="A301" t="str">
            <v>吕伟伟</v>
          </cell>
          <cell r="B301" t="str">
            <v>互联网事业部-大宗销售部-河南区域</v>
          </cell>
          <cell r="C301" t="str">
            <v>业务代表</v>
          </cell>
        </row>
        <row r="302">
          <cell r="A302" t="str">
            <v>吕伟伟</v>
          </cell>
          <cell r="B302" t="str">
            <v>互联网事业部-大宗销售部-河南区域</v>
          </cell>
          <cell r="C302" t="str">
            <v>业务代表</v>
          </cell>
        </row>
        <row r="303">
          <cell r="A303" t="str">
            <v>吕伟伟</v>
          </cell>
          <cell r="B303" t="str">
            <v>互联网事业部-大宗销售部-河南区域</v>
          </cell>
          <cell r="C303" t="str">
            <v>业务代表</v>
          </cell>
        </row>
        <row r="304">
          <cell r="A304" t="str">
            <v>吕伟伟</v>
          </cell>
          <cell r="B304" t="str">
            <v>互联网事业部-大宗销售部-河南区域</v>
          </cell>
          <cell r="C304" t="str">
            <v>业务代表</v>
          </cell>
        </row>
        <row r="305">
          <cell r="A305" t="str">
            <v>郑凯文</v>
          </cell>
          <cell r="B305" t="str">
            <v>互联网事业部-大宗销售部-山东区域</v>
          </cell>
          <cell r="C305" t="str">
            <v>业务代表</v>
          </cell>
        </row>
        <row r="306">
          <cell r="A306" t="str">
            <v>郑凯文</v>
          </cell>
          <cell r="B306" t="str">
            <v>互联网事业部-大宗销售部-山东区域</v>
          </cell>
          <cell r="C306" t="str">
            <v>业务代表</v>
          </cell>
        </row>
        <row r="307">
          <cell r="A307" t="str">
            <v>郑凯文</v>
          </cell>
          <cell r="B307" t="str">
            <v>互联网事业部-大宗销售部-山东区域</v>
          </cell>
          <cell r="C307" t="str">
            <v>业务代表</v>
          </cell>
        </row>
        <row r="308">
          <cell r="A308" t="str">
            <v>郑凯文</v>
          </cell>
          <cell r="B308" t="str">
            <v>互联网事业部-大宗销售部-山东区域</v>
          </cell>
          <cell r="C308" t="str">
            <v>业务代表</v>
          </cell>
        </row>
        <row r="309">
          <cell r="A309" t="str">
            <v>郑凯文</v>
          </cell>
          <cell r="B309" t="str">
            <v>互联网事业部-大宗销售部-山东区域</v>
          </cell>
          <cell r="C309" t="str">
            <v>业务代表</v>
          </cell>
        </row>
        <row r="310">
          <cell r="A310" t="str">
            <v>李永涛</v>
          </cell>
          <cell r="B310" t="str">
            <v>互联网事业部-大宗销售部-山东区域</v>
          </cell>
          <cell r="C310" t="str">
            <v>业务代表</v>
          </cell>
        </row>
        <row r="311">
          <cell r="A311" t="str">
            <v>李永涛</v>
          </cell>
          <cell r="B311" t="str">
            <v>互联网事业部-大宗销售部-山东区域</v>
          </cell>
          <cell r="C311" t="str">
            <v>业务代表</v>
          </cell>
        </row>
        <row r="312">
          <cell r="A312" t="str">
            <v>李永涛</v>
          </cell>
          <cell r="B312" t="str">
            <v>互联网事业部-大宗销售部-山东区域</v>
          </cell>
          <cell r="C312" t="str">
            <v>业务代表</v>
          </cell>
        </row>
        <row r="313">
          <cell r="A313" t="str">
            <v>李永涛</v>
          </cell>
          <cell r="B313" t="str">
            <v>互联网事业部-大宗销售部-山东区域</v>
          </cell>
          <cell r="C313" t="str">
            <v>业务代表</v>
          </cell>
        </row>
        <row r="314">
          <cell r="A314" t="str">
            <v>李永涛</v>
          </cell>
          <cell r="B314" t="str">
            <v>互联网事业部-大宗销售部-山东区域</v>
          </cell>
          <cell r="C314" t="str">
            <v>业务代表</v>
          </cell>
        </row>
        <row r="315">
          <cell r="A315" t="str">
            <v>卢弘宽</v>
          </cell>
          <cell r="B315" t="str">
            <v>互联网事业部-大宗销售部-北方战区-晋陕区域</v>
          </cell>
          <cell r="C315" t="str">
            <v>业务代表</v>
          </cell>
        </row>
        <row r="316">
          <cell r="A316" t="str">
            <v>卢弘宽</v>
          </cell>
          <cell r="B316" t="str">
            <v>互联网事业部-大宗销售部-北方战区-晋陕区域</v>
          </cell>
          <cell r="C316" t="str">
            <v>业务代表</v>
          </cell>
        </row>
        <row r="317">
          <cell r="A317" t="str">
            <v>卢弘宽</v>
          </cell>
          <cell r="B317" t="str">
            <v>互联网事业部-大宗销售部-北方战区-晋陕区域</v>
          </cell>
          <cell r="C317" t="str">
            <v>业务代表</v>
          </cell>
        </row>
        <row r="318">
          <cell r="A318" t="str">
            <v>卢弘宽</v>
          </cell>
          <cell r="B318" t="str">
            <v>互联网事业部-大宗销售部-北方战区-晋陕区域</v>
          </cell>
          <cell r="C318" t="str">
            <v>业务代表</v>
          </cell>
        </row>
        <row r="319">
          <cell r="A319" t="str">
            <v>卢弘宽</v>
          </cell>
          <cell r="B319" t="str">
            <v>互联网事业部-大宗销售部-北方战区-晋陕区域</v>
          </cell>
          <cell r="C319" t="str">
            <v>业务代表</v>
          </cell>
        </row>
        <row r="320">
          <cell r="A320" t="str">
            <v>吴俊宏</v>
          </cell>
          <cell r="B320" t="str">
            <v>互联网事业部-大宗销售部-西南战区-云贵区域</v>
          </cell>
          <cell r="C320" t="str">
            <v>业务代表</v>
          </cell>
        </row>
        <row r="321">
          <cell r="A321" t="str">
            <v>吴俊宏</v>
          </cell>
          <cell r="B321" t="str">
            <v>互联网事业部-大宗销售部-西南战区-云贵区域</v>
          </cell>
          <cell r="C321" t="str">
            <v>业务代表</v>
          </cell>
        </row>
        <row r="322">
          <cell r="A322" t="str">
            <v>吴俊宏</v>
          </cell>
          <cell r="B322" t="str">
            <v>互联网事业部-大宗销售部-西南战区-云贵区域</v>
          </cell>
          <cell r="C322" t="str">
            <v>业务代表</v>
          </cell>
        </row>
        <row r="323">
          <cell r="A323" t="str">
            <v>吴俊宏</v>
          </cell>
          <cell r="B323" t="str">
            <v>互联网事业部-大宗销售部-西南战区-云贵区域</v>
          </cell>
          <cell r="C323" t="str">
            <v>业务代表</v>
          </cell>
        </row>
        <row r="324">
          <cell r="A324" t="str">
            <v>吴俊宏</v>
          </cell>
          <cell r="B324" t="str">
            <v>互联网事业部-大宗销售部-西南战区-云贵区域</v>
          </cell>
          <cell r="C324" t="str">
            <v>业务代表</v>
          </cell>
        </row>
        <row r="325">
          <cell r="A325" t="str">
            <v>孙岩</v>
          </cell>
          <cell r="B325" t="str">
            <v>互联网事业部-大宗销售部-华南区域</v>
          </cell>
          <cell r="C325" t="str">
            <v>业务代表</v>
          </cell>
        </row>
        <row r="326">
          <cell r="A326" t="str">
            <v>孙岩</v>
          </cell>
          <cell r="B326" t="str">
            <v>互联网事业部-大宗销售部-华南区域</v>
          </cell>
          <cell r="C326" t="str">
            <v>业务代表</v>
          </cell>
        </row>
        <row r="327">
          <cell r="A327" t="str">
            <v>孙岩</v>
          </cell>
          <cell r="B327" t="str">
            <v>互联网事业部-大宗销售部-华南区域</v>
          </cell>
          <cell r="C327" t="str">
            <v>业务代表</v>
          </cell>
        </row>
        <row r="328">
          <cell r="A328" t="str">
            <v>孙岩</v>
          </cell>
          <cell r="B328" t="str">
            <v>互联网事业部-大宗销售部-华南区域</v>
          </cell>
          <cell r="C328" t="str">
            <v>业务代表</v>
          </cell>
        </row>
        <row r="329">
          <cell r="A329" t="str">
            <v>孙岩</v>
          </cell>
          <cell r="B329" t="str">
            <v>互联网事业部-大宗销售部-华南区域</v>
          </cell>
          <cell r="C329" t="str">
            <v>业务代表</v>
          </cell>
        </row>
        <row r="330">
          <cell r="A330" t="str">
            <v>冯永健</v>
          </cell>
          <cell r="B330" t="str">
            <v>互联网事业部-大宗销售部-华南区域</v>
          </cell>
          <cell r="C330" t="str">
            <v>业务代表</v>
          </cell>
        </row>
        <row r="331">
          <cell r="A331" t="str">
            <v>冯永健</v>
          </cell>
          <cell r="B331" t="str">
            <v>互联网事业部-大宗销售部-华南区域</v>
          </cell>
          <cell r="C331" t="str">
            <v>业务代表</v>
          </cell>
        </row>
        <row r="332">
          <cell r="A332" t="str">
            <v>冯永健</v>
          </cell>
          <cell r="B332" t="str">
            <v>互联网事业部-大宗销售部-华南区域</v>
          </cell>
          <cell r="C332" t="str">
            <v>业务代表</v>
          </cell>
        </row>
        <row r="333">
          <cell r="A333" t="str">
            <v>冯永健</v>
          </cell>
          <cell r="B333" t="str">
            <v>互联网事业部-大宗销售部-华南区域</v>
          </cell>
          <cell r="C333" t="str">
            <v>业务代表</v>
          </cell>
        </row>
        <row r="334">
          <cell r="A334" t="str">
            <v>冯永健</v>
          </cell>
          <cell r="B334" t="str">
            <v>互联网事业部-大宗销售部-华南区域</v>
          </cell>
          <cell r="C334" t="str">
            <v>业务代表</v>
          </cell>
        </row>
        <row r="335">
          <cell r="A335" t="str">
            <v>廖俊</v>
          </cell>
          <cell r="B335" t="str">
            <v>互联网事业部-大宗销售部-华南区域</v>
          </cell>
          <cell r="C335" t="str">
            <v>业务代表</v>
          </cell>
        </row>
        <row r="336">
          <cell r="A336" t="str">
            <v>廖俊</v>
          </cell>
          <cell r="B336" t="str">
            <v>互联网事业部-大宗销售部-华南区域</v>
          </cell>
          <cell r="C336" t="str">
            <v>业务代表</v>
          </cell>
        </row>
        <row r="337">
          <cell r="A337" t="str">
            <v>廖俊</v>
          </cell>
          <cell r="B337" t="str">
            <v>互联网事业部-大宗销售部-华南区域</v>
          </cell>
          <cell r="C337" t="str">
            <v>业务代表</v>
          </cell>
        </row>
        <row r="338">
          <cell r="A338" t="str">
            <v>廖俊</v>
          </cell>
          <cell r="B338" t="str">
            <v>互联网事业部-大宗销售部-华南区域</v>
          </cell>
          <cell r="C338" t="str">
            <v>业务代表</v>
          </cell>
        </row>
        <row r="339">
          <cell r="A339" t="str">
            <v>廖俊</v>
          </cell>
          <cell r="B339" t="str">
            <v>互联网事业部-大宗销售部-华南区域</v>
          </cell>
          <cell r="C339" t="str">
            <v>业务代表</v>
          </cell>
        </row>
        <row r="340">
          <cell r="A340" t="str">
            <v>刘凯</v>
          </cell>
          <cell r="B340" t="str">
            <v>互联网事业部-大宗销售部-河南区域</v>
          </cell>
          <cell r="C340" t="str">
            <v>区域经理</v>
          </cell>
        </row>
        <row r="341">
          <cell r="A341" t="str">
            <v>蔡世强</v>
          </cell>
          <cell r="B341" t="str">
            <v>互联网事业部-大宗销售部-西南战区-川渝区域</v>
          </cell>
          <cell r="C341" t="str">
            <v>业务经理</v>
          </cell>
        </row>
        <row r="342">
          <cell r="A342" t="str">
            <v>蔡世强</v>
          </cell>
          <cell r="B342" t="str">
            <v>互联网事业部-大宗销售部-西南战区-川渝区域</v>
          </cell>
          <cell r="C342" t="str">
            <v>业务经理</v>
          </cell>
        </row>
        <row r="343">
          <cell r="A343" t="str">
            <v>蔡世强</v>
          </cell>
          <cell r="B343" t="str">
            <v>互联网事业部-大宗销售部-西南战区-川渝区域</v>
          </cell>
          <cell r="C343" t="str">
            <v>业务经理</v>
          </cell>
        </row>
        <row r="344">
          <cell r="A344" t="str">
            <v>蔡世强</v>
          </cell>
          <cell r="B344" t="str">
            <v>互联网事业部-大宗销售部-西南战区-川渝区域</v>
          </cell>
          <cell r="C344" t="str">
            <v>业务经理</v>
          </cell>
        </row>
        <row r="345">
          <cell r="A345" t="str">
            <v>阙宗林</v>
          </cell>
          <cell r="B345" t="str">
            <v>互联网事业部-大宗销售部-华南区域</v>
          </cell>
          <cell r="C345" t="str">
            <v>业务代表</v>
          </cell>
        </row>
        <row r="346">
          <cell r="A346" t="str">
            <v>阙宗林</v>
          </cell>
          <cell r="B346" t="str">
            <v>互联网事业部-大宗销售部-华南区域</v>
          </cell>
          <cell r="C346" t="str">
            <v>业务代表</v>
          </cell>
        </row>
        <row r="347">
          <cell r="A347" t="str">
            <v>阙宗林</v>
          </cell>
          <cell r="B347" t="str">
            <v>互联网事业部-大宗销售部-华南区域</v>
          </cell>
          <cell r="C347" t="str">
            <v>业务代表</v>
          </cell>
        </row>
        <row r="348">
          <cell r="A348" t="str">
            <v>阙宗林</v>
          </cell>
          <cell r="B348" t="str">
            <v>互联网事业部-大宗销售部-华南区域</v>
          </cell>
          <cell r="C348" t="str">
            <v>业务代表</v>
          </cell>
        </row>
        <row r="349">
          <cell r="A349" t="str">
            <v>阙宗林</v>
          </cell>
          <cell r="B349" t="str">
            <v>互联网事业部-大宗销售部-华南区域</v>
          </cell>
          <cell r="C349" t="str">
            <v>业务代表</v>
          </cell>
        </row>
        <row r="350">
          <cell r="A350" t="str">
            <v>余勇韬</v>
          </cell>
          <cell r="B350" t="str">
            <v>互联网事业部-大宗销售部-华南区域</v>
          </cell>
          <cell r="C350" t="str">
            <v>业务代表</v>
          </cell>
        </row>
        <row r="351">
          <cell r="A351" t="str">
            <v>余勇韬</v>
          </cell>
          <cell r="B351" t="str">
            <v>互联网事业部-大宗销售部-华南区域</v>
          </cell>
          <cell r="C351" t="str">
            <v>业务代表</v>
          </cell>
        </row>
        <row r="352">
          <cell r="A352" t="str">
            <v>余勇韬</v>
          </cell>
          <cell r="B352" t="str">
            <v>互联网事业部-大宗销售部-华南区域</v>
          </cell>
          <cell r="C352" t="str">
            <v>业务代表</v>
          </cell>
        </row>
        <row r="353">
          <cell r="A353" t="str">
            <v>余勇韬</v>
          </cell>
          <cell r="B353" t="str">
            <v>互联网事业部-大宗销售部-华南区域</v>
          </cell>
          <cell r="C353" t="str">
            <v>业务代表</v>
          </cell>
        </row>
        <row r="354">
          <cell r="A354" t="str">
            <v>余勇韬</v>
          </cell>
          <cell r="B354" t="str">
            <v>互联网事业部-大宗销售部-华南区域</v>
          </cell>
          <cell r="C354" t="str">
            <v>业务代表</v>
          </cell>
        </row>
        <row r="355">
          <cell r="A355" t="str">
            <v>余勇韬</v>
          </cell>
          <cell r="B355" t="str">
            <v>互联网事业部-大宗销售部-华南区域</v>
          </cell>
          <cell r="C355" t="str">
            <v>业务代表</v>
          </cell>
        </row>
        <row r="356">
          <cell r="A356" t="str">
            <v>周炜</v>
          </cell>
          <cell r="B356" t="str">
            <v>互联网事业部-大宗销售部-北方战区-晋陕区域</v>
          </cell>
          <cell r="C356" t="str">
            <v>业务代表</v>
          </cell>
        </row>
        <row r="357">
          <cell r="A357" t="str">
            <v>周炜</v>
          </cell>
          <cell r="B357" t="str">
            <v>互联网事业部-大宗销售部-北方战区-晋陕区域</v>
          </cell>
          <cell r="C357" t="str">
            <v>业务代表</v>
          </cell>
        </row>
        <row r="358">
          <cell r="A358" t="str">
            <v>周炜</v>
          </cell>
          <cell r="B358" t="str">
            <v>互联网事业部-大宗销售部-北方战区-晋陕区域</v>
          </cell>
          <cell r="C358" t="str">
            <v>业务代表</v>
          </cell>
        </row>
        <row r="359">
          <cell r="A359" t="str">
            <v>周炜</v>
          </cell>
          <cell r="B359" t="str">
            <v>互联网事业部-大宗销售部-北方战区-晋陕区域</v>
          </cell>
          <cell r="C359" t="str">
            <v>业务代表</v>
          </cell>
        </row>
        <row r="360">
          <cell r="A360" t="str">
            <v>周炜</v>
          </cell>
          <cell r="B360" t="str">
            <v>互联网事业部-大宗销售部-北方战区-晋陕区域</v>
          </cell>
          <cell r="C360" t="str">
            <v>业务代表</v>
          </cell>
        </row>
        <row r="361">
          <cell r="A361" t="str">
            <v>刘洋</v>
          </cell>
          <cell r="B361" t="str">
            <v>互联网事业部-大宗销售部-山东区域</v>
          </cell>
          <cell r="C361" t="str">
            <v>业务代表</v>
          </cell>
        </row>
        <row r="362">
          <cell r="A362" t="str">
            <v>刘洋</v>
          </cell>
          <cell r="B362" t="str">
            <v>互联网事业部-大宗销售部-山东区域</v>
          </cell>
          <cell r="C362" t="str">
            <v>业务代表</v>
          </cell>
        </row>
        <row r="363">
          <cell r="A363" t="str">
            <v>刘洋</v>
          </cell>
          <cell r="B363" t="str">
            <v>互联网事业部-大宗销售部-山东区域</v>
          </cell>
          <cell r="C363" t="str">
            <v>业务代表</v>
          </cell>
        </row>
        <row r="364">
          <cell r="A364" t="str">
            <v>刘洋</v>
          </cell>
          <cell r="B364" t="str">
            <v>互联网事业部-大宗销售部-山东区域</v>
          </cell>
          <cell r="C364" t="str">
            <v>业务代表</v>
          </cell>
        </row>
        <row r="365">
          <cell r="A365" t="str">
            <v>刘洋</v>
          </cell>
          <cell r="B365" t="str">
            <v>互联网事业部-大宗销售部-山东区域</v>
          </cell>
          <cell r="C365" t="str">
            <v>业务代表</v>
          </cell>
        </row>
        <row r="366">
          <cell r="A366" t="str">
            <v>侯国英</v>
          </cell>
          <cell r="B366" t="str">
            <v>互联网事业部-大宗销售部-北方战区-晋陕区域</v>
          </cell>
          <cell r="C366" t="str">
            <v>业务代表</v>
          </cell>
        </row>
        <row r="367">
          <cell r="A367" t="str">
            <v>侯国英</v>
          </cell>
          <cell r="B367" t="str">
            <v>互联网事业部-大宗销售部-北方战区-晋陕区域</v>
          </cell>
          <cell r="C367" t="str">
            <v>业务代表</v>
          </cell>
        </row>
        <row r="368">
          <cell r="A368" t="str">
            <v>侯国英</v>
          </cell>
          <cell r="B368" t="str">
            <v>互联网事业部-大宗销售部-北方战区-晋陕区域</v>
          </cell>
          <cell r="C368" t="str">
            <v>业务代表</v>
          </cell>
        </row>
        <row r="369">
          <cell r="A369" t="str">
            <v>侯国英</v>
          </cell>
          <cell r="B369" t="str">
            <v>互联网事业部-大宗销售部-北方战区-晋陕区域</v>
          </cell>
          <cell r="C369" t="str">
            <v>业务代表</v>
          </cell>
        </row>
        <row r="370">
          <cell r="A370" t="str">
            <v>侯国英</v>
          </cell>
          <cell r="B370" t="str">
            <v>互联网事业部-大宗销售部-北方战区-晋陕区域</v>
          </cell>
          <cell r="C370" t="str">
            <v>业务代表</v>
          </cell>
        </row>
        <row r="371">
          <cell r="A371" t="str">
            <v>白旭航</v>
          </cell>
          <cell r="B371" t="str">
            <v>互联网事业部-大宗销售部-北方战区-甘宁区域</v>
          </cell>
          <cell r="C371" t="str">
            <v>区域经理</v>
          </cell>
        </row>
        <row r="372">
          <cell r="A372" t="str">
            <v>白旭航</v>
          </cell>
          <cell r="B372" t="str">
            <v>互联网事业部-大宗销售部-北方战区-甘宁区域</v>
          </cell>
          <cell r="C372" t="str">
            <v>区域经理</v>
          </cell>
        </row>
        <row r="373">
          <cell r="A373" t="str">
            <v>白旭航</v>
          </cell>
          <cell r="B373" t="str">
            <v>互联网事业部-大宗销售部-北方战区-甘宁区域</v>
          </cell>
          <cell r="C373" t="str">
            <v>区域经理</v>
          </cell>
        </row>
        <row r="374">
          <cell r="A374" t="str">
            <v>李路阳</v>
          </cell>
          <cell r="B374" t="str">
            <v>互联网事业部-大宗销售部-河南区域</v>
          </cell>
          <cell r="C374" t="str">
            <v>业务代表</v>
          </cell>
        </row>
        <row r="375">
          <cell r="A375" t="str">
            <v>李路阳</v>
          </cell>
          <cell r="B375" t="str">
            <v>互联网事业部-大宗销售部-河南区域</v>
          </cell>
          <cell r="C375" t="str">
            <v>业务代表</v>
          </cell>
        </row>
        <row r="376">
          <cell r="A376" t="str">
            <v>李路阳</v>
          </cell>
          <cell r="B376" t="str">
            <v>互联网事业部-大宗销售部-河南区域</v>
          </cell>
          <cell r="C376" t="str">
            <v>业务代表</v>
          </cell>
        </row>
        <row r="377">
          <cell r="A377" t="str">
            <v>李路阳</v>
          </cell>
          <cell r="B377" t="str">
            <v>互联网事业部-大宗销售部-河南区域</v>
          </cell>
          <cell r="C377" t="str">
            <v>业务代表</v>
          </cell>
        </row>
        <row r="378">
          <cell r="A378" t="str">
            <v>岳未郅</v>
          </cell>
          <cell r="B378" t="str">
            <v>互联网事业部-大宗销售部-北方战区-羊窝项目组</v>
          </cell>
          <cell r="C378" t="str">
            <v>业务经理</v>
          </cell>
        </row>
        <row r="379">
          <cell r="A379" t="str">
            <v>岳未郅</v>
          </cell>
          <cell r="B379" t="str">
            <v>互联网事业部-大宗销售部-北方战区-羊窝项目组</v>
          </cell>
          <cell r="C379" t="str">
            <v>业务经理</v>
          </cell>
        </row>
        <row r="380">
          <cell r="A380" t="str">
            <v>岳未郅</v>
          </cell>
          <cell r="B380" t="str">
            <v>互联网事业部-大宗销售部-北方战区-羊窝项目组</v>
          </cell>
          <cell r="C380" t="str">
            <v>业务经理</v>
          </cell>
        </row>
        <row r="381">
          <cell r="A381" t="str">
            <v>岳未郅</v>
          </cell>
          <cell r="B381" t="str">
            <v>互联网事业部-大宗销售部-北方战区-羊窝项目组</v>
          </cell>
          <cell r="C381" t="str">
            <v>业务经理</v>
          </cell>
        </row>
        <row r="382">
          <cell r="A382" t="str">
            <v>岳未郅</v>
          </cell>
          <cell r="B382" t="str">
            <v>互联网事业部-大宗销售部-北方战区-羊窝项目组</v>
          </cell>
          <cell r="C382" t="str">
            <v>业务经理</v>
          </cell>
        </row>
        <row r="383">
          <cell r="A383" t="str">
            <v>赵鸿星</v>
          </cell>
          <cell r="B383" t="str">
            <v>互联网事业部-大宗销售部-河北区域</v>
          </cell>
          <cell r="C383" t="str">
            <v>业务代表</v>
          </cell>
        </row>
        <row r="384">
          <cell r="A384" t="str">
            <v>赵鸿星</v>
          </cell>
          <cell r="B384" t="str">
            <v>互联网事业部-大宗销售部-河北区域</v>
          </cell>
          <cell r="C384" t="str">
            <v>业务代表</v>
          </cell>
        </row>
        <row r="385">
          <cell r="A385" t="str">
            <v>赵鸿星</v>
          </cell>
          <cell r="B385" t="str">
            <v>互联网事业部-大宗销售部-河北区域</v>
          </cell>
          <cell r="C385" t="str">
            <v>业务代表</v>
          </cell>
        </row>
        <row r="386">
          <cell r="A386" t="str">
            <v>赵鸿星</v>
          </cell>
          <cell r="B386" t="str">
            <v>互联网事业部-大宗销售部-河北区域</v>
          </cell>
          <cell r="C386" t="str">
            <v>业务代表</v>
          </cell>
        </row>
        <row r="387">
          <cell r="A387" t="str">
            <v>赵鸿星</v>
          </cell>
          <cell r="B387" t="str">
            <v>互联网事业部-大宗销售部-河北区域</v>
          </cell>
          <cell r="C387" t="str">
            <v>业务代表</v>
          </cell>
        </row>
        <row r="388">
          <cell r="A388" t="str">
            <v>蒋涛</v>
          </cell>
          <cell r="B388" t="str">
            <v>互联网事业部-大宗销售部-山东区域</v>
          </cell>
          <cell r="C388" t="str">
            <v>业务代表</v>
          </cell>
        </row>
        <row r="389">
          <cell r="A389" t="str">
            <v>蒋涛</v>
          </cell>
          <cell r="B389" t="str">
            <v>互联网事业部-大宗销售部-山东区域</v>
          </cell>
          <cell r="C389" t="str">
            <v>业务代表</v>
          </cell>
        </row>
        <row r="390">
          <cell r="A390" t="str">
            <v>蒋涛</v>
          </cell>
          <cell r="B390" t="str">
            <v>互联网事业部-大宗销售部-山东区域</v>
          </cell>
          <cell r="C390" t="str">
            <v>业务代表</v>
          </cell>
        </row>
        <row r="391">
          <cell r="A391" t="str">
            <v>蒋涛</v>
          </cell>
          <cell r="B391" t="str">
            <v>互联网事业部-大宗销售部-山东区域</v>
          </cell>
          <cell r="C391" t="str">
            <v>业务代表</v>
          </cell>
        </row>
        <row r="392">
          <cell r="A392" t="str">
            <v>赵璇</v>
          </cell>
          <cell r="B392" t="str">
            <v>互联网事业部-大宗销售部-西南战区-云贵区域</v>
          </cell>
          <cell r="C392" t="str">
            <v>业务代表</v>
          </cell>
        </row>
        <row r="393">
          <cell r="A393" t="str">
            <v>赵璇</v>
          </cell>
          <cell r="B393" t="str">
            <v>互联网事业部-大宗销售部-西南战区-云贵区域</v>
          </cell>
          <cell r="C393" t="str">
            <v>业务代表</v>
          </cell>
        </row>
        <row r="394">
          <cell r="A394" t="str">
            <v>赵璇</v>
          </cell>
          <cell r="B394" t="str">
            <v>互联网事业部-大宗销售部-西南战区-云贵区域</v>
          </cell>
          <cell r="C394" t="str">
            <v>业务代表</v>
          </cell>
        </row>
        <row r="395">
          <cell r="A395" t="str">
            <v>邵冰</v>
          </cell>
          <cell r="B395" t="str">
            <v>互联网事业部-大宗销售部-北方战区-黑吉区域</v>
          </cell>
          <cell r="C395" t="str">
            <v>业务代表</v>
          </cell>
        </row>
        <row r="396">
          <cell r="A396" t="str">
            <v>邵冰</v>
          </cell>
          <cell r="B396" t="str">
            <v>互联网事业部-大宗销售部-北方战区-黑吉区域</v>
          </cell>
          <cell r="C396" t="str">
            <v>业务代表</v>
          </cell>
        </row>
        <row r="397">
          <cell r="A397" t="str">
            <v>邵冰</v>
          </cell>
          <cell r="B397" t="str">
            <v>互联网事业部-大宗销售部-北方战区-黑吉区域</v>
          </cell>
          <cell r="C397" t="str">
            <v>业务代表</v>
          </cell>
        </row>
        <row r="398">
          <cell r="A398" t="str">
            <v>苏小雨</v>
          </cell>
          <cell r="B398" t="str">
            <v>互联网事业部-大宗销售部-北方战区-羊窝项目组</v>
          </cell>
          <cell r="C398" t="str">
            <v>业务代表</v>
          </cell>
        </row>
        <row r="399">
          <cell r="A399" t="str">
            <v>苏小雨</v>
          </cell>
          <cell r="B399" t="str">
            <v>互联网事业部-大宗销售部-北方战区-羊窝项目组</v>
          </cell>
          <cell r="C399" t="str">
            <v>业务代表</v>
          </cell>
        </row>
        <row r="400">
          <cell r="A400" t="str">
            <v>苏小雨</v>
          </cell>
          <cell r="B400" t="str">
            <v>互联网事业部-大宗销售部-北方战区-羊窝项目组</v>
          </cell>
          <cell r="C400" t="str">
            <v>业务代表</v>
          </cell>
        </row>
        <row r="401">
          <cell r="A401" t="str">
            <v>王兆雨</v>
          </cell>
          <cell r="B401" t="str">
            <v>互联网事业部-大宗销售部-北方战区-辽宁区域</v>
          </cell>
          <cell r="C401" t="str">
            <v>业务代表</v>
          </cell>
        </row>
        <row r="402">
          <cell r="A402" t="str">
            <v>王鹏州</v>
          </cell>
          <cell r="B402" t="str">
            <v>互联网事业部-大宗销售部-北方战区-辽宁区域</v>
          </cell>
          <cell r="C402" t="str">
            <v>业务代表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08"/>
  <sheetViews>
    <sheetView tabSelected="1" workbookViewId="0">
      <pane xSplit="1" ySplit="1" topLeftCell="P8" activePane="bottomRight" state="frozen"/>
      <selection/>
      <selection pane="topRight"/>
      <selection pane="bottomLeft"/>
      <selection pane="bottomRight" activeCell="AD17" sqref="AD17"/>
    </sheetView>
  </sheetViews>
  <sheetFormatPr defaultColWidth="9" defaultRowHeight="14"/>
  <cols>
    <col min="1" max="3" width="10" customWidth="1"/>
    <col min="4" max="4" width="12" customWidth="1"/>
    <col min="5" max="7" width="10" customWidth="1"/>
    <col min="8" max="11" width="8" customWidth="1"/>
    <col min="12" max="12" width="10" customWidth="1"/>
    <col min="13" max="17" width="12" customWidth="1"/>
    <col min="18" max="18" width="14" customWidth="1"/>
    <col min="19" max="23" width="10" customWidth="1"/>
    <col min="24" max="25" width="8" customWidth="1"/>
    <col min="26" max="37" width="13.4545454545455" customWidth="1"/>
    <col min="38" max="38" width="10" customWidth="1"/>
    <col min="39" max="39" width="14" customWidth="1"/>
    <col min="40" max="40" width="10.5454545454545" customWidth="1"/>
    <col min="41" max="41" width="9.54545454545454" customWidth="1"/>
    <col min="46" max="46" width="10.5454545454545" customWidth="1"/>
  </cols>
  <sheetData>
    <row r="1" ht="28" customHeight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t="s">
        <v>37</v>
      </c>
      <c r="AM1" t="s">
        <v>38</v>
      </c>
    </row>
    <row r="2" spans="1:39">
      <c r="A2" s="4" t="s">
        <v>39</v>
      </c>
      <c r="B2" s="4" t="s">
        <v>40</v>
      </c>
      <c r="C2" s="5" t="str">
        <f>VLOOKUP(A2,'[1]6月1号-7.5日任务完成数据'!$A:$C,3,0)</f>
        <v>业务代表</v>
      </c>
      <c r="D2" s="4" t="s">
        <v>41</v>
      </c>
      <c r="E2" s="4" t="s">
        <v>42</v>
      </c>
      <c r="F2" s="4" t="s">
        <v>43</v>
      </c>
      <c r="G2" s="4" t="s">
        <v>44</v>
      </c>
      <c r="H2" s="4">
        <v>4.5</v>
      </c>
      <c r="I2" s="4">
        <v>2</v>
      </c>
      <c r="J2" s="4">
        <v>1</v>
      </c>
      <c r="K2" s="4">
        <v>4</v>
      </c>
      <c r="L2" s="4">
        <v>0</v>
      </c>
      <c r="M2" s="4">
        <v>4</v>
      </c>
      <c r="N2" s="5">
        <f>S2+Z2</f>
        <v>6503.43</v>
      </c>
      <c r="O2" s="5">
        <f>T2+AA2</f>
        <v>5214.29</v>
      </c>
      <c r="P2" s="5">
        <f>N2-O2</f>
        <v>1289.14</v>
      </c>
      <c r="Q2" s="5" t="s">
        <v>45</v>
      </c>
      <c r="R2" s="4">
        <v>4204</v>
      </c>
      <c r="S2" s="4">
        <v>4904</v>
      </c>
      <c r="T2" s="4">
        <v>3162</v>
      </c>
      <c r="U2" s="5">
        <f>S2-T2</f>
        <v>1742</v>
      </c>
      <c r="V2" s="5" t="s">
        <v>45</v>
      </c>
      <c r="W2" s="4">
        <v>0</v>
      </c>
      <c r="X2" s="4">
        <v>0</v>
      </c>
      <c r="Y2" s="4"/>
      <c r="Z2" s="5">
        <v>1599.43</v>
      </c>
      <c r="AA2" s="5">
        <v>2052.29</v>
      </c>
      <c r="AB2" s="5">
        <f>Z2-AA2</f>
        <v>-452.86</v>
      </c>
      <c r="AC2" s="5">
        <v>3400.59</v>
      </c>
      <c r="AD2" s="5">
        <v>2665.72</v>
      </c>
      <c r="AE2" s="5">
        <f>AC2-AD2</f>
        <v>734.87</v>
      </c>
      <c r="AF2" s="5">
        <v>37</v>
      </c>
      <c r="AG2" s="5">
        <v>32</v>
      </c>
      <c r="AH2" s="5">
        <v>5</v>
      </c>
      <c r="AI2" s="5">
        <v>17</v>
      </c>
      <c r="AJ2" s="5">
        <v>16</v>
      </c>
      <c r="AK2" s="5">
        <v>1</v>
      </c>
      <c r="AL2" s="4"/>
    </row>
    <row r="3" spans="1:39">
      <c r="A3" s="4" t="s">
        <v>46</v>
      </c>
      <c r="B3" s="4" t="s">
        <v>47</v>
      </c>
      <c r="C3" s="5" t="str">
        <f>VLOOKUP(A3,'[1]6月1号-7.5日任务完成数据'!$A:$C,3,0)</f>
        <v>业务代表</v>
      </c>
      <c r="D3" s="4" t="s">
        <v>48</v>
      </c>
      <c r="E3" s="4" t="s">
        <v>42</v>
      </c>
      <c r="F3" s="4" t="s">
        <v>43</v>
      </c>
      <c r="G3" s="4" t="s">
        <v>44</v>
      </c>
      <c r="H3" s="4">
        <v>5.5</v>
      </c>
      <c r="I3" s="4">
        <v>2</v>
      </c>
      <c r="J3" s="4">
        <v>3</v>
      </c>
      <c r="K3" s="4">
        <v>4</v>
      </c>
      <c r="L3" s="4">
        <v>0</v>
      </c>
      <c r="M3" s="4">
        <v>4</v>
      </c>
      <c r="N3" s="5">
        <f>S3+Z3</f>
        <v>5126.03</v>
      </c>
      <c r="O3" s="5">
        <f>T3+AA3</f>
        <v>2639.95</v>
      </c>
      <c r="P3" s="5">
        <f>N3-O3</f>
        <v>2486.08</v>
      </c>
      <c r="Q3" s="5" t="s">
        <v>45</v>
      </c>
      <c r="R3" s="4">
        <v>3857</v>
      </c>
      <c r="S3" s="4">
        <v>4474</v>
      </c>
      <c r="T3" s="4">
        <v>2639.95</v>
      </c>
      <c r="U3" s="5">
        <f>S3-T3</f>
        <v>1834.05</v>
      </c>
      <c r="V3" s="5" t="s">
        <v>45</v>
      </c>
      <c r="W3" s="4">
        <v>0</v>
      </c>
      <c r="X3" s="4">
        <v>0</v>
      </c>
      <c r="Y3" s="4"/>
      <c r="Z3" s="5">
        <v>652.03</v>
      </c>
      <c r="AA3" s="5"/>
      <c r="AB3" s="5"/>
      <c r="AC3" s="5">
        <v>2377.62</v>
      </c>
      <c r="AD3" s="5">
        <v>1086.71</v>
      </c>
      <c r="AE3" s="5">
        <f>AC3-AD3</f>
        <v>1290.91</v>
      </c>
      <c r="AF3" s="5">
        <v>32</v>
      </c>
      <c r="AG3" s="5">
        <v>31</v>
      </c>
      <c r="AH3" s="5">
        <v>1</v>
      </c>
      <c r="AI3" s="5">
        <v>31</v>
      </c>
      <c r="AJ3" s="5">
        <v>30</v>
      </c>
      <c r="AK3" s="5">
        <v>1</v>
      </c>
      <c r="AL3" s="4"/>
    </row>
    <row r="4" spans="1:39">
      <c r="A4" s="5" t="s">
        <v>49</v>
      </c>
      <c r="B4" s="5" t="s">
        <v>50</v>
      </c>
      <c r="C4" s="5" t="str">
        <f>VLOOKUP(A4,'[1]6月1号-7.5日任务完成数据'!$A:$C,3,0)</f>
        <v>业务代表</v>
      </c>
      <c r="D4" s="5" t="s">
        <v>41</v>
      </c>
      <c r="E4" s="5" t="s">
        <v>42</v>
      </c>
      <c r="F4" s="5" t="s">
        <v>43</v>
      </c>
      <c r="G4" s="5" t="s">
        <v>44</v>
      </c>
      <c r="H4" s="5">
        <v>6.75</v>
      </c>
      <c r="I4" s="5">
        <v>3</v>
      </c>
      <c r="J4" s="5">
        <v>2</v>
      </c>
      <c r="K4" s="5">
        <v>4</v>
      </c>
      <c r="L4" s="5">
        <v>1</v>
      </c>
      <c r="M4" s="5">
        <v>3</v>
      </c>
      <c r="N4" s="5">
        <f>S4+Z4</f>
        <v>4944.73</v>
      </c>
      <c r="O4" s="5">
        <f>T4+AA4</f>
        <v>5207.98</v>
      </c>
      <c r="P4" s="5">
        <f>N4-O4</f>
        <v>-263.25</v>
      </c>
      <c r="Q4" s="5" t="s">
        <v>51</v>
      </c>
      <c r="R4" s="5">
        <v>2720.29</v>
      </c>
      <c r="S4" s="5">
        <v>2734.86</v>
      </c>
      <c r="T4" s="5">
        <v>2718.02</v>
      </c>
      <c r="U4" s="5">
        <f>S4-T4</f>
        <v>16.8400000000001</v>
      </c>
      <c r="V4" s="5" t="s">
        <v>45</v>
      </c>
      <c r="W4" s="5">
        <v>761.77</v>
      </c>
      <c r="X4" s="5">
        <v>0</v>
      </c>
      <c r="Y4" s="5"/>
      <c r="Z4" s="5">
        <v>2209.87</v>
      </c>
      <c r="AA4" s="5">
        <v>2489.96</v>
      </c>
      <c r="AB4" s="5">
        <f>Z4-AA4</f>
        <v>-280.09</v>
      </c>
      <c r="AC4" s="5">
        <v>3981.49</v>
      </c>
      <c r="AD4" s="5">
        <v>3683.12</v>
      </c>
      <c r="AE4" s="5">
        <f>AC4-AD4</f>
        <v>298.37</v>
      </c>
      <c r="AF4" s="5">
        <v>38</v>
      </c>
      <c r="AG4" s="5">
        <v>32</v>
      </c>
      <c r="AH4" s="5">
        <v>6</v>
      </c>
      <c r="AI4" s="5">
        <v>26</v>
      </c>
      <c r="AJ4" s="5">
        <v>26</v>
      </c>
      <c r="AK4" s="5">
        <v>0</v>
      </c>
      <c r="AL4" s="5"/>
    </row>
    <row r="5" spans="1:39">
      <c r="A5" s="4" t="s">
        <v>52</v>
      </c>
      <c r="B5" s="4" t="s">
        <v>53</v>
      </c>
      <c r="C5" s="5" t="str">
        <f>VLOOKUP(A5,'[1]6月1号-7.5日任务完成数据'!$A:$C,3,0)</f>
        <v>业务代表</v>
      </c>
      <c r="D5" s="4" t="s">
        <v>48</v>
      </c>
      <c r="E5" s="4" t="s">
        <v>42</v>
      </c>
      <c r="F5" s="4" t="s">
        <v>43</v>
      </c>
      <c r="G5" s="4" t="s">
        <v>44</v>
      </c>
      <c r="H5" s="4">
        <v>5.5</v>
      </c>
      <c r="I5" s="4">
        <v>11</v>
      </c>
      <c r="J5" s="4">
        <v>2</v>
      </c>
      <c r="K5" s="4">
        <v>4</v>
      </c>
      <c r="L5" s="4">
        <v>0</v>
      </c>
      <c r="M5" s="4">
        <v>4</v>
      </c>
      <c r="N5" s="5">
        <f>S5+Z5</f>
        <v>4749.96</v>
      </c>
      <c r="O5" s="5">
        <f>T5+AA5</f>
        <v>2375.66</v>
      </c>
      <c r="P5" s="5">
        <f>N5-O5</f>
        <v>2374.3</v>
      </c>
      <c r="Q5" s="5" t="s">
        <v>45</v>
      </c>
      <c r="R5" s="4">
        <v>2023.3</v>
      </c>
      <c r="S5" s="4">
        <v>2566.3</v>
      </c>
      <c r="T5" s="4">
        <v>2375.66</v>
      </c>
      <c r="U5" s="5">
        <f>S5-T5</f>
        <v>190.64</v>
      </c>
      <c r="V5" s="5" t="s">
        <v>45</v>
      </c>
      <c r="W5" s="4">
        <v>0</v>
      </c>
      <c r="X5" s="4">
        <v>0</v>
      </c>
      <c r="Y5" s="4"/>
      <c r="Z5" s="5">
        <v>2183.66</v>
      </c>
      <c r="AA5" s="5"/>
      <c r="AB5" s="5"/>
      <c r="AC5" s="5">
        <v>5971.62</v>
      </c>
      <c r="AD5" s="5">
        <v>3639.44</v>
      </c>
      <c r="AE5" s="5">
        <f>AC5-AD5</f>
        <v>2332.18</v>
      </c>
      <c r="AF5" s="5">
        <v>36</v>
      </c>
      <c r="AG5" s="5">
        <v>33</v>
      </c>
      <c r="AH5" s="5">
        <v>3</v>
      </c>
      <c r="AI5" s="5">
        <v>36</v>
      </c>
      <c r="AJ5" s="5">
        <v>33</v>
      </c>
      <c r="AK5" s="5">
        <v>3</v>
      </c>
      <c r="AL5" s="4"/>
    </row>
    <row r="6" spans="1:39">
      <c r="A6" s="4" t="s">
        <v>54</v>
      </c>
      <c r="B6" s="4" t="s">
        <v>55</v>
      </c>
      <c r="C6" s="5" t="str">
        <f>VLOOKUP(A6,'[1]6月1号-7.5日任务完成数据'!$A:$C,3,0)</f>
        <v>业务代表</v>
      </c>
      <c r="D6" s="4" t="s">
        <v>56</v>
      </c>
      <c r="E6" s="4" t="s">
        <v>42</v>
      </c>
      <c r="F6" s="4" t="s">
        <v>43</v>
      </c>
      <c r="G6" s="4" t="s">
        <v>44</v>
      </c>
      <c r="H6" s="4">
        <v>5.5</v>
      </c>
      <c r="I6" s="4">
        <v>4</v>
      </c>
      <c r="J6" s="4">
        <v>3</v>
      </c>
      <c r="K6" s="4">
        <v>4</v>
      </c>
      <c r="L6" s="4">
        <v>0</v>
      </c>
      <c r="M6" s="4">
        <v>4</v>
      </c>
      <c r="N6" s="5">
        <f>S6+Z6</f>
        <v>4678</v>
      </c>
      <c r="O6" s="5">
        <f>T6+AA6</f>
        <v>4269</v>
      </c>
      <c r="P6" s="5">
        <f>N6-O6</f>
        <v>409</v>
      </c>
      <c r="Q6" s="5" t="s">
        <v>45</v>
      </c>
      <c r="R6" s="4">
        <v>2162</v>
      </c>
      <c r="S6" s="4">
        <v>2812</v>
      </c>
      <c r="T6" s="4">
        <v>2108</v>
      </c>
      <c r="U6" s="5">
        <f>S6-T6</f>
        <v>704</v>
      </c>
      <c r="V6" s="5" t="s">
        <v>45</v>
      </c>
      <c r="W6" s="4">
        <v>0</v>
      </c>
      <c r="X6" s="4">
        <v>0</v>
      </c>
      <c r="Y6" s="4"/>
      <c r="Z6" s="5">
        <v>1866</v>
      </c>
      <c r="AA6" s="5">
        <v>2161</v>
      </c>
      <c r="AB6" s="5">
        <f>Z6-AA6</f>
        <v>-295</v>
      </c>
      <c r="AC6" s="5">
        <v>3494.47</v>
      </c>
      <c r="AD6" s="5">
        <v>3110.78</v>
      </c>
      <c r="AE6" s="5">
        <f>AC6-AD6</f>
        <v>383.69</v>
      </c>
      <c r="AF6" s="5">
        <v>33</v>
      </c>
      <c r="AG6" s="5">
        <v>19</v>
      </c>
      <c r="AH6" s="5">
        <v>14</v>
      </c>
      <c r="AI6" s="5">
        <v>27</v>
      </c>
      <c r="AJ6" s="5">
        <v>19</v>
      </c>
      <c r="AK6" s="5">
        <v>8</v>
      </c>
      <c r="AL6" s="4"/>
    </row>
    <row r="7" spans="1:39">
      <c r="A7" s="5" t="s">
        <v>57</v>
      </c>
      <c r="B7" s="5" t="s">
        <v>58</v>
      </c>
      <c r="C7" s="5" t="str">
        <f>VLOOKUP(A7,'[1]6月1号-7.5日任务完成数据'!$A:$C,3,0)</f>
        <v>业务代表</v>
      </c>
      <c r="D7" s="5" t="s">
        <v>41</v>
      </c>
      <c r="E7" s="5" t="s">
        <v>42</v>
      </c>
      <c r="F7" s="5" t="s">
        <v>43</v>
      </c>
      <c r="G7" s="5" t="s">
        <v>44</v>
      </c>
      <c r="H7" s="5">
        <v>5.25</v>
      </c>
      <c r="I7" s="5">
        <v>4</v>
      </c>
      <c r="J7" s="5">
        <v>0</v>
      </c>
      <c r="K7" s="5">
        <v>4</v>
      </c>
      <c r="L7" s="5">
        <v>4</v>
      </c>
      <c r="M7" s="5">
        <v>0</v>
      </c>
      <c r="N7" s="5">
        <f>S7+Z7</f>
        <v>4560.04</v>
      </c>
      <c r="O7" s="5">
        <f>T7+AA7</f>
        <v>3399.83</v>
      </c>
      <c r="P7" s="5">
        <f>N7-O7</f>
        <v>1160.21</v>
      </c>
      <c r="Q7" s="5" t="s">
        <v>45</v>
      </c>
      <c r="R7" s="5">
        <v>2691</v>
      </c>
      <c r="S7" s="5">
        <v>3563</v>
      </c>
      <c r="T7" s="5">
        <v>2733.99</v>
      </c>
      <c r="U7" s="5">
        <f>S7-T7</f>
        <v>829.01</v>
      </c>
      <c r="V7" s="5" t="s">
        <v>45</v>
      </c>
      <c r="W7" s="5">
        <v>2691</v>
      </c>
      <c r="X7" s="5">
        <v>0</v>
      </c>
      <c r="Y7" s="5"/>
      <c r="Z7" s="5">
        <v>997.04</v>
      </c>
      <c r="AA7" s="5">
        <v>665.84</v>
      </c>
      <c r="AB7" s="5">
        <f>Z7-AA7</f>
        <v>331.2</v>
      </c>
      <c r="AC7" s="5">
        <v>1489.07</v>
      </c>
      <c r="AD7" s="5">
        <v>2414.78</v>
      </c>
      <c r="AE7" s="5">
        <f>AC7-AD7</f>
        <v>-925.71</v>
      </c>
      <c r="AF7" s="5">
        <v>39</v>
      </c>
      <c r="AG7" s="5">
        <v>44</v>
      </c>
      <c r="AH7" s="5">
        <v>-5</v>
      </c>
      <c r="AI7" s="5">
        <v>28</v>
      </c>
      <c r="AJ7" s="5">
        <v>35</v>
      </c>
      <c r="AK7" s="5">
        <v>-7</v>
      </c>
      <c r="AL7" s="5"/>
    </row>
    <row r="8" spans="1:39">
      <c r="A8" s="4" t="s">
        <v>59</v>
      </c>
      <c r="B8" s="4" t="s">
        <v>60</v>
      </c>
      <c r="C8" s="5" t="str">
        <f>VLOOKUP(A8,'[1]6月1号-7.5日任务完成数据'!$A:$C,3,0)</f>
        <v>业务代表</v>
      </c>
      <c r="D8" s="4" t="s">
        <v>56</v>
      </c>
      <c r="E8" s="4" t="s">
        <v>42</v>
      </c>
      <c r="F8" s="4" t="s">
        <v>43</v>
      </c>
      <c r="G8" s="4" t="s">
        <v>44</v>
      </c>
      <c r="H8" s="4">
        <v>5.25</v>
      </c>
      <c r="I8" s="4">
        <v>3</v>
      </c>
      <c r="J8" s="4">
        <v>1</v>
      </c>
      <c r="K8" s="4">
        <v>4</v>
      </c>
      <c r="L8" s="4">
        <v>0</v>
      </c>
      <c r="M8" s="4">
        <v>4</v>
      </c>
      <c r="N8" s="5">
        <f>S8+Z8</f>
        <v>4277.76</v>
      </c>
      <c r="O8" s="5">
        <f>T8+AA8</f>
        <v>3352.35</v>
      </c>
      <c r="P8" s="5">
        <f>N8-O8</f>
        <v>925.41</v>
      </c>
      <c r="Q8" s="5" t="s">
        <v>45</v>
      </c>
      <c r="R8" s="4">
        <v>2795.34</v>
      </c>
      <c r="S8" s="4">
        <v>3184.45</v>
      </c>
      <c r="T8" s="4">
        <v>2456.35</v>
      </c>
      <c r="U8" s="5">
        <f>S8-T8</f>
        <v>728.1</v>
      </c>
      <c r="V8" s="5" t="s">
        <v>45</v>
      </c>
      <c r="W8" s="4">
        <v>0</v>
      </c>
      <c r="X8" s="4">
        <v>0</v>
      </c>
      <c r="Y8" s="4"/>
      <c r="Z8" s="5">
        <v>1093.31</v>
      </c>
      <c r="AA8" s="5">
        <v>896</v>
      </c>
      <c r="AB8" s="5">
        <f>Z8-AA8</f>
        <v>197.31</v>
      </c>
      <c r="AC8" s="5">
        <v>1767.59</v>
      </c>
      <c r="AD8" s="5">
        <v>1822.19</v>
      </c>
      <c r="AE8" s="5">
        <f>AC8-AD8</f>
        <v>-54.6000000000001</v>
      </c>
      <c r="AF8" s="5">
        <v>40</v>
      </c>
      <c r="AG8" s="5">
        <v>37</v>
      </c>
      <c r="AH8" s="5">
        <v>3</v>
      </c>
      <c r="AI8" s="5">
        <v>38</v>
      </c>
      <c r="AJ8" s="5">
        <v>32</v>
      </c>
      <c r="AK8" s="5">
        <v>6</v>
      </c>
      <c r="AL8" s="4"/>
    </row>
    <row r="9" spans="1:39">
      <c r="A9" s="5" t="s">
        <v>61</v>
      </c>
      <c r="B9" s="5" t="s">
        <v>62</v>
      </c>
      <c r="C9" s="5" t="str">
        <f>VLOOKUP(A9,'[1]6月1号-7.5日任务完成数据'!$A:$C,3,0)</f>
        <v>区域经理</v>
      </c>
      <c r="D9" s="5" t="s">
        <v>48</v>
      </c>
      <c r="E9" s="5" t="s">
        <v>42</v>
      </c>
      <c r="F9" s="5" t="s">
        <v>43</v>
      </c>
      <c r="G9" s="5" t="s">
        <v>44</v>
      </c>
      <c r="H9" s="5">
        <v>1.33</v>
      </c>
      <c r="I9" s="5">
        <v>1</v>
      </c>
      <c r="J9" s="5">
        <v>1</v>
      </c>
      <c r="K9" s="5">
        <v>3</v>
      </c>
      <c r="L9" s="5">
        <v>1</v>
      </c>
      <c r="M9" s="5">
        <v>2</v>
      </c>
      <c r="N9" s="5">
        <f>S9+Z9</f>
        <v>3804</v>
      </c>
      <c r="O9" s="5">
        <f>T9+AA9</f>
        <v>2124.17</v>
      </c>
      <c r="P9" s="5">
        <f>N9-O9</f>
        <v>1679.83</v>
      </c>
      <c r="Q9" s="5" t="s">
        <v>45</v>
      </c>
      <c r="R9" s="5">
        <v>1585</v>
      </c>
      <c r="S9" s="5">
        <v>3804</v>
      </c>
      <c r="T9" s="5">
        <v>2124.17</v>
      </c>
      <c r="U9" s="5">
        <f>S9-T9</f>
        <v>1679.83</v>
      </c>
      <c r="V9" s="5" t="s">
        <v>45</v>
      </c>
      <c r="W9" s="5">
        <v>196</v>
      </c>
      <c r="X9" s="5">
        <v>0</v>
      </c>
      <c r="Y9" s="5"/>
      <c r="Z9" s="5"/>
      <c r="AA9" s="5"/>
      <c r="AB9" s="5"/>
      <c r="AC9" s="5">
        <v>3</v>
      </c>
      <c r="AD9" s="5"/>
      <c r="AE9" s="5">
        <f>AC9-AD9</f>
        <v>3</v>
      </c>
      <c r="AF9" s="5">
        <v>4</v>
      </c>
      <c r="AG9" s="5">
        <v>0</v>
      </c>
      <c r="AH9" s="5">
        <v>4</v>
      </c>
      <c r="AI9" s="5">
        <v>3</v>
      </c>
      <c r="AJ9" s="5">
        <v>0</v>
      </c>
      <c r="AK9" s="5">
        <v>3</v>
      </c>
      <c r="AL9" s="5"/>
    </row>
    <row r="10" spans="1:39">
      <c r="A10" s="4" t="s">
        <v>63</v>
      </c>
      <c r="B10" s="4" t="s">
        <v>64</v>
      </c>
      <c r="C10" s="5" t="str">
        <f>VLOOKUP(A10,'[1]6月1号-7.5日任务完成数据'!$A:$C,3,0)</f>
        <v>业务代表</v>
      </c>
      <c r="D10" s="4" t="s">
        <v>48</v>
      </c>
      <c r="E10" s="4" t="s">
        <v>42</v>
      </c>
      <c r="F10" s="4" t="s">
        <v>43</v>
      </c>
      <c r="G10" s="4" t="s">
        <v>44</v>
      </c>
      <c r="H10" s="4">
        <v>4.5</v>
      </c>
      <c r="I10" s="4">
        <v>2</v>
      </c>
      <c r="J10" s="4">
        <v>3</v>
      </c>
      <c r="K10" s="4">
        <v>4</v>
      </c>
      <c r="L10" s="4">
        <v>0</v>
      </c>
      <c r="M10" s="4">
        <v>4</v>
      </c>
      <c r="N10" s="5">
        <f>S10+Z10</f>
        <v>3668.58</v>
      </c>
      <c r="O10" s="5">
        <f>T10+AA10</f>
        <v>3899.13</v>
      </c>
      <c r="P10" s="5">
        <f>N10-O10</f>
        <v>-230.55</v>
      </c>
      <c r="Q10" s="5" t="s">
        <v>51</v>
      </c>
      <c r="R10" s="4">
        <v>1530</v>
      </c>
      <c r="S10" s="4">
        <v>2203.32</v>
      </c>
      <c r="T10" s="4">
        <v>2595.89</v>
      </c>
      <c r="U10" s="5">
        <f>S10-T10</f>
        <v>-392.57</v>
      </c>
      <c r="V10" s="5" t="s">
        <v>51</v>
      </c>
      <c r="W10" s="4">
        <v>0</v>
      </c>
      <c r="X10" s="4">
        <v>0</v>
      </c>
      <c r="Y10" s="4"/>
      <c r="Z10" s="5">
        <v>1465.26</v>
      </c>
      <c r="AA10" s="5">
        <v>1303.24</v>
      </c>
      <c r="AB10" s="5">
        <f>Z10-AA10</f>
        <v>162.02</v>
      </c>
      <c r="AC10" s="5">
        <v>2141.14</v>
      </c>
      <c r="AD10" s="5">
        <v>2966.44</v>
      </c>
      <c r="AE10" s="5">
        <f>AC10-AD10</f>
        <v>-825.3</v>
      </c>
      <c r="AF10" s="5">
        <v>26</v>
      </c>
      <c r="AG10" s="5">
        <v>30</v>
      </c>
      <c r="AH10" s="5">
        <v>-4</v>
      </c>
      <c r="AI10" s="5">
        <v>26</v>
      </c>
      <c r="AJ10" s="5">
        <v>27</v>
      </c>
      <c r="AK10" s="5">
        <v>-1</v>
      </c>
      <c r="AL10" s="4"/>
    </row>
    <row r="11" spans="1:39">
      <c r="A11" s="4" t="s">
        <v>65</v>
      </c>
      <c r="B11" s="4" t="s">
        <v>58</v>
      </c>
      <c r="C11" s="5" t="str">
        <f>VLOOKUP(A11,'[1]6月1号-7.5日任务完成数据'!$A:$C,3,0)</f>
        <v>业务主管</v>
      </c>
      <c r="D11" s="4" t="s">
        <v>41</v>
      </c>
      <c r="E11" s="4" t="s">
        <v>42</v>
      </c>
      <c r="F11" s="4" t="s">
        <v>43</v>
      </c>
      <c r="G11" s="4" t="s">
        <v>44</v>
      </c>
      <c r="H11" s="4">
        <v>3.25</v>
      </c>
      <c r="I11" s="4">
        <v>5</v>
      </c>
      <c r="J11" s="4">
        <v>1</v>
      </c>
      <c r="K11" s="4">
        <v>4</v>
      </c>
      <c r="L11" s="4">
        <v>0</v>
      </c>
      <c r="M11" s="4">
        <v>4</v>
      </c>
      <c r="N11" s="5">
        <f>S11+Z11</f>
        <v>3496.57</v>
      </c>
      <c r="O11" s="5">
        <f>T11+AA11</f>
        <v>4031.1</v>
      </c>
      <c r="P11" s="5">
        <f>N11-O11</f>
        <v>-534.53</v>
      </c>
      <c r="Q11" s="5" t="s">
        <v>51</v>
      </c>
      <c r="R11" s="4">
        <v>2583.54</v>
      </c>
      <c r="S11" s="4">
        <v>2963.54</v>
      </c>
      <c r="T11" s="4">
        <v>3201.71</v>
      </c>
      <c r="U11" s="5">
        <f>S11-T11</f>
        <v>-238.17</v>
      </c>
      <c r="V11" s="5" t="s">
        <v>51</v>
      </c>
      <c r="W11" s="4">
        <v>0</v>
      </c>
      <c r="X11" s="4">
        <v>0</v>
      </c>
      <c r="Y11" s="4"/>
      <c r="Z11" s="5">
        <v>533.03</v>
      </c>
      <c r="AA11" s="5">
        <v>829.39</v>
      </c>
      <c r="AB11" s="5">
        <f>Z11-AA11</f>
        <v>-296.36</v>
      </c>
      <c r="AC11" s="5">
        <v>1047.19</v>
      </c>
      <c r="AD11" s="5">
        <v>888.39</v>
      </c>
      <c r="AE11" s="5">
        <f>AC11-AD11</f>
        <v>158.8</v>
      </c>
      <c r="AF11" s="5">
        <v>33</v>
      </c>
      <c r="AG11" s="5">
        <v>26</v>
      </c>
      <c r="AH11" s="5">
        <v>7</v>
      </c>
      <c r="AI11" s="5">
        <v>33</v>
      </c>
      <c r="AJ11" s="5">
        <v>26</v>
      </c>
      <c r="AK11" s="5">
        <v>7</v>
      </c>
      <c r="AL11" s="4"/>
    </row>
    <row r="12" spans="1:39">
      <c r="A12" s="5" t="s">
        <v>66</v>
      </c>
      <c r="B12" s="5" t="s">
        <v>67</v>
      </c>
      <c r="C12" s="5" t="str">
        <f>VLOOKUP(A12,'[1]6月1号-7.5日任务完成数据'!$A:$C,3,0)</f>
        <v>业务代表</v>
      </c>
      <c r="D12" s="5" t="s">
        <v>68</v>
      </c>
      <c r="E12" s="5" t="s">
        <v>42</v>
      </c>
      <c r="F12" s="5" t="s">
        <v>43</v>
      </c>
      <c r="G12" s="5" t="s">
        <v>44</v>
      </c>
      <c r="H12" s="5">
        <v>5.25</v>
      </c>
      <c r="I12" s="5">
        <v>2</v>
      </c>
      <c r="J12" s="5">
        <v>4</v>
      </c>
      <c r="K12" s="5">
        <v>4</v>
      </c>
      <c r="L12" s="5">
        <v>1</v>
      </c>
      <c r="M12" s="5">
        <v>3</v>
      </c>
      <c r="N12" s="5">
        <f>S12+Z12</f>
        <v>3416.87</v>
      </c>
      <c r="O12" s="5">
        <f>T12+AA12</f>
        <v>2697.36</v>
      </c>
      <c r="P12" s="5">
        <f>N12-O12</f>
        <v>719.51</v>
      </c>
      <c r="Q12" s="5" t="s">
        <v>45</v>
      </c>
      <c r="R12" s="5">
        <v>861</v>
      </c>
      <c r="S12" s="5">
        <v>1604</v>
      </c>
      <c r="T12" s="5">
        <v>1145</v>
      </c>
      <c r="U12" s="5">
        <f>S12-T12</f>
        <v>459</v>
      </c>
      <c r="V12" s="5" t="s">
        <v>45</v>
      </c>
      <c r="W12" s="5">
        <v>0</v>
      </c>
      <c r="X12" s="5">
        <v>1</v>
      </c>
      <c r="Y12" s="5"/>
      <c r="Z12" s="5">
        <v>1812.87</v>
      </c>
      <c r="AA12" s="5">
        <v>1552.36</v>
      </c>
      <c r="AB12" s="5">
        <f>Z12-AA12</f>
        <v>260.51</v>
      </c>
      <c r="AC12" s="5">
        <v>3438.44</v>
      </c>
      <c r="AD12" s="5">
        <v>3373.7</v>
      </c>
      <c r="AE12" s="5">
        <f>AC12-AD12</f>
        <v>64.7400000000002</v>
      </c>
      <c r="AF12" s="5">
        <v>46</v>
      </c>
      <c r="AG12" s="5">
        <v>46</v>
      </c>
      <c r="AH12" s="5">
        <v>0</v>
      </c>
      <c r="AI12" s="5">
        <v>35</v>
      </c>
      <c r="AJ12" s="5">
        <v>40</v>
      </c>
      <c r="AK12" s="5">
        <v>-5</v>
      </c>
      <c r="AL12" s="5"/>
    </row>
    <row r="13" spans="1:39">
      <c r="A13" s="4" t="s">
        <v>69</v>
      </c>
      <c r="B13" s="4" t="s">
        <v>40</v>
      </c>
      <c r="C13" s="5" t="str">
        <f>VLOOKUP(A13,'[1]6月1号-7.5日任务完成数据'!$A:$C,3,0)</f>
        <v>业务代表</v>
      </c>
      <c r="D13" s="4" t="s">
        <v>41</v>
      </c>
      <c r="E13" s="4" t="s">
        <v>42</v>
      </c>
      <c r="F13" s="4" t="s">
        <v>43</v>
      </c>
      <c r="G13" s="4" t="s">
        <v>44</v>
      </c>
      <c r="H13" s="4">
        <v>5</v>
      </c>
      <c r="I13" s="4">
        <v>3</v>
      </c>
      <c r="J13" s="4">
        <v>1</v>
      </c>
      <c r="K13" s="4">
        <v>4</v>
      </c>
      <c r="L13" s="4">
        <v>0</v>
      </c>
      <c r="M13" s="4">
        <v>4</v>
      </c>
      <c r="N13" s="5">
        <f>S13+Z13</f>
        <v>3403.15</v>
      </c>
      <c r="O13" s="5">
        <f>T13+AA13</f>
        <v>2681.15</v>
      </c>
      <c r="P13" s="5">
        <f>N13-O13</f>
        <v>722</v>
      </c>
      <c r="Q13" s="5" t="s">
        <v>45</v>
      </c>
      <c r="R13" s="4">
        <v>1760</v>
      </c>
      <c r="S13" s="4">
        <v>2363.15</v>
      </c>
      <c r="T13" s="4">
        <v>1718.15</v>
      </c>
      <c r="U13" s="5">
        <f>S13-T13</f>
        <v>645</v>
      </c>
      <c r="V13" s="5" t="s">
        <v>45</v>
      </c>
      <c r="W13" s="4">
        <v>0</v>
      </c>
      <c r="X13" s="4">
        <v>0</v>
      </c>
      <c r="Y13" s="4"/>
      <c r="Z13" s="5">
        <v>1040</v>
      </c>
      <c r="AA13" s="5">
        <v>963</v>
      </c>
      <c r="AB13" s="5">
        <f>Z13-AA13</f>
        <v>77</v>
      </c>
      <c r="AC13" s="5">
        <v>1693.83</v>
      </c>
      <c r="AD13" s="5">
        <v>1733.57</v>
      </c>
      <c r="AE13" s="5">
        <f>AC13-AD13</f>
        <v>-39.74</v>
      </c>
      <c r="AF13" s="5">
        <v>35</v>
      </c>
      <c r="AG13" s="5">
        <v>34</v>
      </c>
      <c r="AH13" s="5">
        <v>1</v>
      </c>
      <c r="AI13" s="5">
        <v>26</v>
      </c>
      <c r="AJ13" s="5">
        <v>27</v>
      </c>
      <c r="AK13" s="5">
        <v>-1</v>
      </c>
      <c r="AL13" s="4"/>
    </row>
    <row r="14" spans="1:39">
      <c r="A14" s="4" t="s">
        <v>70</v>
      </c>
      <c r="B14" s="4" t="s">
        <v>40</v>
      </c>
      <c r="C14" s="5" t="str">
        <f>VLOOKUP(A14,'[1]6月1号-7.5日任务完成数据'!$A:$C,3,0)</f>
        <v>业务代表</v>
      </c>
      <c r="D14" s="4" t="s">
        <v>41</v>
      </c>
      <c r="E14" s="4" t="s">
        <v>42</v>
      </c>
      <c r="F14" s="4" t="s">
        <v>43</v>
      </c>
      <c r="G14" s="4" t="s">
        <v>44</v>
      </c>
      <c r="H14" s="4">
        <v>5</v>
      </c>
      <c r="I14" s="4">
        <v>2</v>
      </c>
      <c r="J14" s="4">
        <v>1</v>
      </c>
      <c r="K14" s="4">
        <v>4</v>
      </c>
      <c r="L14" s="4">
        <v>0</v>
      </c>
      <c r="M14" s="4">
        <v>4</v>
      </c>
      <c r="N14" s="5">
        <f>S14+Z14</f>
        <v>3321.61</v>
      </c>
      <c r="O14" s="5">
        <f>T14+AA14</f>
        <v>2641.12</v>
      </c>
      <c r="P14" s="5">
        <f>N14-O14</f>
        <v>680.49</v>
      </c>
      <c r="Q14" s="5" t="s">
        <v>45</v>
      </c>
      <c r="R14" s="4">
        <v>1909</v>
      </c>
      <c r="S14" s="4">
        <v>1979</v>
      </c>
      <c r="T14" s="4">
        <v>1561</v>
      </c>
      <c r="U14" s="5">
        <f>S14-T14</f>
        <v>418</v>
      </c>
      <c r="V14" s="5" t="s">
        <v>45</v>
      </c>
      <c r="W14" s="4">
        <v>0</v>
      </c>
      <c r="X14" s="4">
        <v>0</v>
      </c>
      <c r="Y14" s="4"/>
      <c r="Z14" s="5">
        <v>1342.61</v>
      </c>
      <c r="AA14" s="5">
        <v>1080.12</v>
      </c>
      <c r="AB14" s="5">
        <f>Z14-AA14</f>
        <v>262.49</v>
      </c>
      <c r="AC14" s="5">
        <v>2014.06</v>
      </c>
      <c r="AD14" s="5">
        <v>2237.69</v>
      </c>
      <c r="AE14" s="5">
        <f>AC14-AD14</f>
        <v>-223.63</v>
      </c>
      <c r="AF14" s="5">
        <v>37</v>
      </c>
      <c r="AG14" s="5">
        <v>32</v>
      </c>
      <c r="AH14" s="5">
        <v>5</v>
      </c>
      <c r="AI14" s="5">
        <v>26</v>
      </c>
      <c r="AJ14" s="5">
        <v>26</v>
      </c>
      <c r="AK14" s="5">
        <v>0</v>
      </c>
      <c r="AL14" s="4"/>
    </row>
    <row r="15" spans="1:39">
      <c r="A15" s="4" t="s">
        <v>71</v>
      </c>
      <c r="B15" s="4" t="s">
        <v>72</v>
      </c>
      <c r="C15" s="5" t="str">
        <f>VLOOKUP(A15,'[1]6月1号-7.5日任务完成数据'!$A:$C,3,0)</f>
        <v>业务代表</v>
      </c>
      <c r="D15" s="4" t="s">
        <v>41</v>
      </c>
      <c r="E15" s="4" t="s">
        <v>42</v>
      </c>
      <c r="F15" s="4" t="s">
        <v>43</v>
      </c>
      <c r="G15" s="4" t="s">
        <v>44</v>
      </c>
      <c r="H15" s="4">
        <v>5.75</v>
      </c>
      <c r="I15" s="4">
        <v>4</v>
      </c>
      <c r="J15" s="4">
        <v>1</v>
      </c>
      <c r="K15" s="4">
        <v>4</v>
      </c>
      <c r="L15" s="4">
        <v>0</v>
      </c>
      <c r="M15" s="4">
        <v>4</v>
      </c>
      <c r="N15" s="5">
        <f>S15+Z15</f>
        <v>3308.52</v>
      </c>
      <c r="O15" s="5">
        <f>T15+AA15</f>
        <v>1987.75</v>
      </c>
      <c r="P15" s="5">
        <f>N15-O15</f>
        <v>1320.77</v>
      </c>
      <c r="Q15" s="5" t="s">
        <v>45</v>
      </c>
      <c r="R15" s="4">
        <v>2136</v>
      </c>
      <c r="S15" s="4">
        <v>2095</v>
      </c>
      <c r="T15" s="4">
        <v>1625.11</v>
      </c>
      <c r="U15" s="5">
        <f>S15-T15</f>
        <v>469.89</v>
      </c>
      <c r="V15" s="5" t="s">
        <v>45</v>
      </c>
      <c r="W15" s="4">
        <v>0</v>
      </c>
      <c r="X15" s="4">
        <v>0</v>
      </c>
      <c r="Y15" s="4"/>
      <c r="Z15" s="5">
        <v>1213.52</v>
      </c>
      <c r="AA15" s="5">
        <v>362.64</v>
      </c>
      <c r="AB15" s="5">
        <f>Z15-AA15</f>
        <v>850.88</v>
      </c>
      <c r="AC15" s="5">
        <v>2120.87</v>
      </c>
      <c r="AD15" s="5">
        <v>2022.54</v>
      </c>
      <c r="AE15" s="5">
        <f>AC15-AD15</f>
        <v>98.3299999999999</v>
      </c>
      <c r="AF15" s="5">
        <v>32</v>
      </c>
      <c r="AG15" s="5">
        <v>25</v>
      </c>
      <c r="AH15" s="5">
        <v>7</v>
      </c>
      <c r="AI15" s="5">
        <v>27</v>
      </c>
      <c r="AJ15" s="5">
        <v>21</v>
      </c>
      <c r="AK15" s="5">
        <v>6</v>
      </c>
      <c r="AL15" s="4"/>
    </row>
    <row r="16" spans="1:39">
      <c r="A16" s="4" t="s">
        <v>73</v>
      </c>
      <c r="B16" s="4" t="s">
        <v>40</v>
      </c>
      <c r="C16" s="5" t="str">
        <f>VLOOKUP(A16,'[1]6月1号-7.5日任务完成数据'!$A:$C,3,0)</f>
        <v>业务代表</v>
      </c>
      <c r="D16" s="4" t="s">
        <v>41</v>
      </c>
      <c r="E16" s="4" t="s">
        <v>42</v>
      </c>
      <c r="F16" s="4" t="s">
        <v>43</v>
      </c>
      <c r="G16" s="4" t="s">
        <v>44</v>
      </c>
      <c r="H16" s="4">
        <v>5</v>
      </c>
      <c r="I16" s="4">
        <v>2</v>
      </c>
      <c r="J16" s="4">
        <v>0</v>
      </c>
      <c r="K16" s="4">
        <v>4</v>
      </c>
      <c r="L16" s="4">
        <v>0</v>
      </c>
      <c r="M16" s="4">
        <v>4</v>
      </c>
      <c r="N16" s="5">
        <f>S16+Z16</f>
        <v>3221</v>
      </c>
      <c r="O16" s="5">
        <f>T16+AA16</f>
        <v>2976.79</v>
      </c>
      <c r="P16" s="5">
        <f>N16-O16</f>
        <v>244.21</v>
      </c>
      <c r="Q16" s="5" t="s">
        <v>45</v>
      </c>
      <c r="R16" s="4">
        <v>1261</v>
      </c>
      <c r="S16" s="4">
        <v>2376</v>
      </c>
      <c r="T16" s="4">
        <v>1986</v>
      </c>
      <c r="U16" s="5">
        <f>S16-T16</f>
        <v>390</v>
      </c>
      <c r="V16" s="5" t="s">
        <v>45</v>
      </c>
      <c r="W16" s="4">
        <v>0</v>
      </c>
      <c r="X16" s="4">
        <v>0</v>
      </c>
      <c r="Y16" s="4"/>
      <c r="Z16" s="5">
        <v>845</v>
      </c>
      <c r="AA16" s="5">
        <v>990.79</v>
      </c>
      <c r="AB16" s="5">
        <f>Z16-AA16</f>
        <v>-145.79</v>
      </c>
      <c r="AC16" s="5">
        <v>1672.56</v>
      </c>
      <c r="AD16" s="5">
        <v>1432.38</v>
      </c>
      <c r="AE16" s="5">
        <f>AC16-AD16</f>
        <v>240.18</v>
      </c>
      <c r="AF16" s="5">
        <v>39</v>
      </c>
      <c r="AG16" s="5">
        <v>30</v>
      </c>
      <c r="AH16" s="5">
        <v>9</v>
      </c>
      <c r="AI16" s="5">
        <v>30</v>
      </c>
      <c r="AJ16" s="5">
        <v>26</v>
      </c>
      <c r="AK16" s="5">
        <v>4</v>
      </c>
      <c r="AL16" s="4"/>
    </row>
    <row r="17" spans="1:38">
      <c r="A17" s="4" t="s">
        <v>74</v>
      </c>
      <c r="B17" s="4" t="s">
        <v>40</v>
      </c>
      <c r="C17" s="5" t="str">
        <f>VLOOKUP(A17,'[1]6月1号-7.5日任务完成数据'!$A:$C,3,0)</f>
        <v>业务代表</v>
      </c>
      <c r="D17" s="4" t="s">
        <v>41</v>
      </c>
      <c r="E17" s="4" t="s">
        <v>42</v>
      </c>
      <c r="F17" s="4" t="s">
        <v>43</v>
      </c>
      <c r="G17" s="4" t="s">
        <v>44</v>
      </c>
      <c r="H17" s="4">
        <v>5</v>
      </c>
      <c r="I17" s="4">
        <v>4</v>
      </c>
      <c r="J17" s="4">
        <v>1</v>
      </c>
      <c r="K17" s="4">
        <v>4</v>
      </c>
      <c r="L17" s="4">
        <v>0</v>
      </c>
      <c r="M17" s="4">
        <v>4</v>
      </c>
      <c r="N17" s="5">
        <f>S17+Z17</f>
        <v>3217.53</v>
      </c>
      <c r="O17" s="5">
        <f>T17+AA17</f>
        <v>3603.6</v>
      </c>
      <c r="P17" s="5">
        <f>N17-O17</f>
        <v>-386.070000000001</v>
      </c>
      <c r="Q17" s="5" t="s">
        <v>51</v>
      </c>
      <c r="R17" s="4">
        <v>1804.23</v>
      </c>
      <c r="S17" s="4">
        <v>2008.97</v>
      </c>
      <c r="T17" s="4">
        <v>1703.42</v>
      </c>
      <c r="U17" s="5">
        <f>S17-T17</f>
        <v>305.55</v>
      </c>
      <c r="V17" s="5" t="s">
        <v>45</v>
      </c>
      <c r="W17" s="4">
        <v>0</v>
      </c>
      <c r="X17" s="4">
        <v>0</v>
      </c>
      <c r="Y17" s="4"/>
      <c r="Z17" s="5">
        <v>1208.56</v>
      </c>
      <c r="AA17" s="5">
        <v>1900.18</v>
      </c>
      <c r="AB17" s="5">
        <f>Z17-AA17</f>
        <v>-691.62</v>
      </c>
      <c r="AC17" s="5">
        <v>2392.33</v>
      </c>
      <c r="AD17" s="5">
        <v>2014.27</v>
      </c>
      <c r="AE17" s="5">
        <f>AC17-AD17</f>
        <v>378.06</v>
      </c>
      <c r="AF17" s="5">
        <v>39</v>
      </c>
      <c r="AG17" s="5">
        <v>30</v>
      </c>
      <c r="AH17" s="5">
        <v>9</v>
      </c>
      <c r="AI17" s="5">
        <v>33</v>
      </c>
      <c r="AJ17" s="5">
        <v>27</v>
      </c>
      <c r="AK17" s="5">
        <v>6</v>
      </c>
      <c r="AL17" s="4"/>
    </row>
    <row r="18" spans="1:38">
      <c r="A18" s="5" t="s">
        <v>75</v>
      </c>
      <c r="B18" s="5" t="s">
        <v>76</v>
      </c>
      <c r="C18" s="5" t="str">
        <f>VLOOKUP(A18,'[1]6月1号-7.5日任务完成数据'!$A:$C,3,0)</f>
        <v>业务代表</v>
      </c>
      <c r="D18" s="5" t="s">
        <v>41</v>
      </c>
      <c r="E18" s="5" t="s">
        <v>42</v>
      </c>
      <c r="F18" s="5" t="s">
        <v>43</v>
      </c>
      <c r="G18" s="5" t="s">
        <v>44</v>
      </c>
      <c r="H18" s="5">
        <v>5.25</v>
      </c>
      <c r="I18" s="5">
        <v>3</v>
      </c>
      <c r="J18" s="5">
        <v>3</v>
      </c>
      <c r="K18" s="5">
        <v>4</v>
      </c>
      <c r="L18" s="5">
        <v>1</v>
      </c>
      <c r="M18" s="5">
        <v>3</v>
      </c>
      <c r="N18" s="5">
        <f>S18+Z18</f>
        <v>3167.72</v>
      </c>
      <c r="O18" s="5">
        <f>T18+AA18</f>
        <v>1683</v>
      </c>
      <c r="P18" s="5">
        <f>N18-O18</f>
        <v>1484.72</v>
      </c>
      <c r="Q18" s="5" t="s">
        <v>45</v>
      </c>
      <c r="R18" s="5">
        <v>1797</v>
      </c>
      <c r="S18" s="5">
        <v>1801</v>
      </c>
      <c r="T18" s="5">
        <v>1683</v>
      </c>
      <c r="U18" s="5">
        <f>S18-T18</f>
        <v>118</v>
      </c>
      <c r="V18" s="5" t="s">
        <v>45</v>
      </c>
      <c r="W18" s="5">
        <v>0</v>
      </c>
      <c r="X18" s="5">
        <v>1</v>
      </c>
      <c r="Y18" s="5"/>
      <c r="Z18" s="5">
        <v>1366.72</v>
      </c>
      <c r="AA18" s="5"/>
      <c r="AB18" s="5"/>
      <c r="AC18" s="5">
        <v>1761.88</v>
      </c>
      <c r="AD18" s="5">
        <v>1061.4</v>
      </c>
      <c r="AE18" s="5">
        <f>AC18-AD18</f>
        <v>700.48</v>
      </c>
      <c r="AF18" s="5">
        <v>32</v>
      </c>
      <c r="AG18" s="5">
        <v>27</v>
      </c>
      <c r="AH18" s="5">
        <v>5</v>
      </c>
      <c r="AI18" s="5">
        <v>31</v>
      </c>
      <c r="AJ18" s="5">
        <v>27</v>
      </c>
      <c r="AK18" s="5">
        <v>4</v>
      </c>
      <c r="AL18" s="5"/>
    </row>
    <row r="19" spans="1:38">
      <c r="A19" s="4" t="s">
        <v>77</v>
      </c>
      <c r="B19" s="4" t="s">
        <v>58</v>
      </c>
      <c r="C19" s="5" t="str">
        <f>VLOOKUP(A19,'[1]6月1号-7.5日任务完成数据'!$A:$C,3,0)</f>
        <v>业务代表</v>
      </c>
      <c r="D19" s="4" t="s">
        <v>41</v>
      </c>
      <c r="E19" s="4" t="s">
        <v>42</v>
      </c>
      <c r="F19" s="4" t="s">
        <v>43</v>
      </c>
      <c r="G19" s="4" t="s">
        <v>44</v>
      </c>
      <c r="H19" s="4">
        <v>6.25</v>
      </c>
      <c r="I19" s="4">
        <v>4</v>
      </c>
      <c r="J19" s="4">
        <v>2</v>
      </c>
      <c r="K19" s="4">
        <v>4</v>
      </c>
      <c r="L19" s="4">
        <v>0</v>
      </c>
      <c r="M19" s="4">
        <v>4</v>
      </c>
      <c r="N19" s="5">
        <f>S19+Z19</f>
        <v>3091.43</v>
      </c>
      <c r="O19" s="5">
        <f>T19+AA19</f>
        <v>2948.3</v>
      </c>
      <c r="P19" s="5">
        <f>N19-O19</f>
        <v>143.13</v>
      </c>
      <c r="Q19" s="5" t="s">
        <v>45</v>
      </c>
      <c r="R19" s="4">
        <v>964</v>
      </c>
      <c r="S19" s="4">
        <v>964</v>
      </c>
      <c r="T19" s="4">
        <v>1907</v>
      </c>
      <c r="U19" s="5">
        <f>S19-T19</f>
        <v>-943</v>
      </c>
      <c r="V19" s="5" t="s">
        <v>51</v>
      </c>
      <c r="W19" s="4">
        <v>0</v>
      </c>
      <c r="X19" s="4">
        <v>0</v>
      </c>
      <c r="Y19" s="4"/>
      <c r="Z19" s="5">
        <v>2127.43</v>
      </c>
      <c r="AA19" s="5">
        <v>1041.3</v>
      </c>
      <c r="AB19" s="5">
        <f>Z19-AA19</f>
        <v>1086.13</v>
      </c>
      <c r="AC19" s="5">
        <v>2712.46</v>
      </c>
      <c r="AD19" s="5">
        <v>3545.72</v>
      </c>
      <c r="AE19" s="5">
        <f>AC19-AD19</f>
        <v>-833.26</v>
      </c>
      <c r="AF19" s="5">
        <v>34</v>
      </c>
      <c r="AG19" s="5">
        <v>33</v>
      </c>
      <c r="AH19" s="5">
        <v>1</v>
      </c>
      <c r="AI19" s="5">
        <v>31</v>
      </c>
      <c r="AJ19" s="5">
        <v>31</v>
      </c>
      <c r="AK19" s="5">
        <v>0</v>
      </c>
      <c r="AL19" s="4"/>
    </row>
    <row r="20" spans="1:38">
      <c r="A20" s="4" t="s">
        <v>78</v>
      </c>
      <c r="B20" s="4" t="s">
        <v>58</v>
      </c>
      <c r="C20" s="5" t="str">
        <f>VLOOKUP(A20,'[1]6月1号-7.5日任务完成数据'!$A:$C,3,0)</f>
        <v>业务代表</v>
      </c>
      <c r="D20" s="4" t="s">
        <v>41</v>
      </c>
      <c r="E20" s="4" t="s">
        <v>42</v>
      </c>
      <c r="F20" s="4" t="s">
        <v>43</v>
      </c>
      <c r="G20" s="4" t="s">
        <v>44</v>
      </c>
      <c r="H20" s="4">
        <v>5</v>
      </c>
      <c r="I20" s="4">
        <v>2</v>
      </c>
      <c r="J20" s="4">
        <v>2</v>
      </c>
      <c r="K20" s="4">
        <v>4</v>
      </c>
      <c r="L20" s="4">
        <v>0</v>
      </c>
      <c r="M20" s="4">
        <v>4</v>
      </c>
      <c r="N20" s="5">
        <f>S20+Z20</f>
        <v>2897.7</v>
      </c>
      <c r="O20" s="5">
        <f>T20+AA20</f>
        <v>1629.35</v>
      </c>
      <c r="P20" s="5">
        <f>N20-O20</f>
        <v>1268.35</v>
      </c>
      <c r="Q20" s="5" t="s">
        <v>45</v>
      </c>
      <c r="R20" s="4">
        <v>1515</v>
      </c>
      <c r="S20" s="4">
        <v>1515</v>
      </c>
      <c r="T20" s="4">
        <v>925</v>
      </c>
      <c r="U20" s="5">
        <f>S20-T20</f>
        <v>590</v>
      </c>
      <c r="V20" s="5" t="s">
        <v>45</v>
      </c>
      <c r="W20" s="4">
        <v>0</v>
      </c>
      <c r="X20" s="4">
        <v>0</v>
      </c>
      <c r="Y20" s="4"/>
      <c r="Z20" s="5">
        <v>1382.7</v>
      </c>
      <c r="AA20" s="5">
        <v>704.35</v>
      </c>
      <c r="AB20" s="5">
        <f>Z20-AA20</f>
        <v>678.35</v>
      </c>
      <c r="AC20" s="5">
        <v>2037.8</v>
      </c>
      <c r="AD20" s="5">
        <v>2304.5</v>
      </c>
      <c r="AE20" s="5">
        <f>AC20-AD20</f>
        <v>-266.7</v>
      </c>
      <c r="AF20" s="5">
        <v>43</v>
      </c>
      <c r="AG20" s="5">
        <v>33</v>
      </c>
      <c r="AH20" s="5">
        <v>10</v>
      </c>
      <c r="AI20" s="5">
        <v>42</v>
      </c>
      <c r="AJ20" s="5">
        <v>33</v>
      </c>
      <c r="AK20" s="5">
        <v>9</v>
      </c>
      <c r="AL20" s="4"/>
    </row>
    <row r="21" spans="1:38">
      <c r="A21" s="5" t="s">
        <v>79</v>
      </c>
      <c r="B21" s="5" t="s">
        <v>80</v>
      </c>
      <c r="C21" s="5" t="str">
        <f>VLOOKUP(A21,'[1]6月1号-7.5日任务完成数据'!$A:$C,3,0)</f>
        <v>业务代表</v>
      </c>
      <c r="D21" s="5" t="s">
        <v>68</v>
      </c>
      <c r="E21" s="5" t="s">
        <v>42</v>
      </c>
      <c r="F21" s="5" t="s">
        <v>43</v>
      </c>
      <c r="G21" s="5" t="s">
        <v>44</v>
      </c>
      <c r="H21" s="5">
        <v>4.75</v>
      </c>
      <c r="I21" s="5">
        <v>3</v>
      </c>
      <c r="J21" s="5">
        <v>1</v>
      </c>
      <c r="K21" s="5">
        <v>4</v>
      </c>
      <c r="L21" s="5">
        <v>1</v>
      </c>
      <c r="M21" s="5">
        <v>3</v>
      </c>
      <c r="N21" s="5">
        <f>S21+Z21</f>
        <v>2830.93</v>
      </c>
      <c r="O21" s="5">
        <f>T21+AA21</f>
        <v>1764.11</v>
      </c>
      <c r="P21" s="5">
        <f>N21-O21</f>
        <v>1066.82</v>
      </c>
      <c r="Q21" s="5" t="s">
        <v>45</v>
      </c>
      <c r="R21" s="5">
        <v>1018.94</v>
      </c>
      <c r="S21" s="5">
        <v>1362.88</v>
      </c>
      <c r="T21" s="5">
        <v>473</v>
      </c>
      <c r="U21" s="5">
        <f>S21-T21</f>
        <v>889.88</v>
      </c>
      <c r="V21" s="5" t="s">
        <v>45</v>
      </c>
      <c r="W21" s="5">
        <v>0</v>
      </c>
      <c r="X21" s="5">
        <v>0</v>
      </c>
      <c r="Y21" s="5"/>
      <c r="Z21" s="5">
        <v>1468.05</v>
      </c>
      <c r="AA21" s="5">
        <v>1291.11</v>
      </c>
      <c r="AB21" s="5">
        <f>Z21-AA21</f>
        <v>176.94</v>
      </c>
      <c r="AC21" s="5">
        <v>2649.11</v>
      </c>
      <c r="AD21" s="5">
        <v>2446.75</v>
      </c>
      <c r="AE21" s="5">
        <f>AC21-AD21</f>
        <v>202.36</v>
      </c>
      <c r="AF21" s="5">
        <v>33</v>
      </c>
      <c r="AG21" s="5">
        <v>30</v>
      </c>
      <c r="AH21" s="5">
        <v>3</v>
      </c>
      <c r="AI21" s="5">
        <v>33</v>
      </c>
      <c r="AJ21" s="5">
        <v>29</v>
      </c>
      <c r="AK21" s="5">
        <v>4</v>
      </c>
      <c r="AL21" s="5"/>
    </row>
    <row r="22" spans="1:38">
      <c r="A22" s="4" t="s">
        <v>81</v>
      </c>
      <c r="B22" s="4" t="s">
        <v>64</v>
      </c>
      <c r="C22" s="5" t="str">
        <f>VLOOKUP(A22,'[1]6月1号-7.5日任务完成数据'!$A:$C,3,0)</f>
        <v>业务代表</v>
      </c>
      <c r="D22" s="4" t="s">
        <v>48</v>
      </c>
      <c r="E22" s="4" t="s">
        <v>42</v>
      </c>
      <c r="F22" s="4" t="s">
        <v>43</v>
      </c>
      <c r="G22" s="4" t="s">
        <v>44</v>
      </c>
      <c r="H22" s="4">
        <v>5.75</v>
      </c>
      <c r="I22" s="4">
        <v>3</v>
      </c>
      <c r="J22" s="4">
        <v>2</v>
      </c>
      <c r="K22" s="4">
        <v>4</v>
      </c>
      <c r="L22" s="4">
        <v>0</v>
      </c>
      <c r="M22" s="4">
        <v>4</v>
      </c>
      <c r="N22" s="5">
        <f>S22+Z22</f>
        <v>2775.91</v>
      </c>
      <c r="O22" s="5">
        <f>T22+AA22</f>
        <v>3072.24</v>
      </c>
      <c r="P22" s="5">
        <f>N22-O22</f>
        <v>-296.33</v>
      </c>
      <c r="Q22" s="5" t="s">
        <v>51</v>
      </c>
      <c r="R22" s="4">
        <v>1724.54</v>
      </c>
      <c r="S22" s="4">
        <v>1531.54</v>
      </c>
      <c r="T22" s="4">
        <v>2341.24</v>
      </c>
      <c r="U22" s="5">
        <f>S22-T22</f>
        <v>-809.7</v>
      </c>
      <c r="V22" s="5" t="s">
        <v>51</v>
      </c>
      <c r="W22" s="4">
        <v>0</v>
      </c>
      <c r="X22" s="4">
        <v>0</v>
      </c>
      <c r="Y22" s="4"/>
      <c r="Z22" s="5">
        <v>1244.37</v>
      </c>
      <c r="AA22" s="5">
        <v>731</v>
      </c>
      <c r="AB22" s="5">
        <f>Z22-AA22</f>
        <v>513.37</v>
      </c>
      <c r="AC22" s="5">
        <v>2648.69</v>
      </c>
      <c r="AD22" s="5">
        <v>2073.95</v>
      </c>
      <c r="AE22" s="5">
        <f>AC22-AD22</f>
        <v>574.74</v>
      </c>
      <c r="AF22" s="5">
        <v>36</v>
      </c>
      <c r="AG22" s="5">
        <v>33</v>
      </c>
      <c r="AH22" s="5">
        <v>3</v>
      </c>
      <c r="AI22" s="5">
        <v>30</v>
      </c>
      <c r="AJ22" s="5">
        <v>31</v>
      </c>
      <c r="AK22" s="5">
        <v>-1</v>
      </c>
      <c r="AL22" s="4"/>
    </row>
    <row r="23" spans="1:38">
      <c r="A23" s="4" t="s">
        <v>82</v>
      </c>
      <c r="B23" s="4" t="s">
        <v>40</v>
      </c>
      <c r="C23" s="5" t="str">
        <f>VLOOKUP(A23,'[1]6月1号-7.5日任务完成数据'!$A:$C,3,0)</f>
        <v>业务代表</v>
      </c>
      <c r="D23" s="4" t="s">
        <v>41</v>
      </c>
      <c r="E23" s="4" t="s">
        <v>42</v>
      </c>
      <c r="F23" s="4" t="s">
        <v>43</v>
      </c>
      <c r="G23" s="4" t="s">
        <v>44</v>
      </c>
      <c r="H23" s="4">
        <v>4.5</v>
      </c>
      <c r="I23" s="4">
        <v>4</v>
      </c>
      <c r="J23" s="4">
        <v>2</v>
      </c>
      <c r="K23" s="4">
        <v>4</v>
      </c>
      <c r="L23" s="4">
        <v>0</v>
      </c>
      <c r="M23" s="4">
        <v>4</v>
      </c>
      <c r="N23" s="5">
        <f>S23+Z23</f>
        <v>2766.11</v>
      </c>
      <c r="O23" s="5">
        <f>T23+AA23</f>
        <v>3116.24</v>
      </c>
      <c r="P23" s="5">
        <f>N23-O23</f>
        <v>-350.13</v>
      </c>
      <c r="Q23" s="5" t="s">
        <v>51</v>
      </c>
      <c r="R23" s="4">
        <v>1873.65</v>
      </c>
      <c r="S23" s="4">
        <v>2129.97</v>
      </c>
      <c r="T23" s="4">
        <v>2209</v>
      </c>
      <c r="U23" s="5">
        <f>S23-T23</f>
        <v>-79.0300000000002</v>
      </c>
      <c r="V23" s="5" t="s">
        <v>51</v>
      </c>
      <c r="W23" s="4">
        <v>0</v>
      </c>
      <c r="X23" s="4">
        <v>0</v>
      </c>
      <c r="Y23" s="4"/>
      <c r="Z23" s="5">
        <v>636.14</v>
      </c>
      <c r="AA23" s="5">
        <v>907.24</v>
      </c>
      <c r="AB23" s="5">
        <f>Z23-AA23</f>
        <v>-271.1</v>
      </c>
      <c r="AC23" s="5">
        <v>1971.18</v>
      </c>
      <c r="AD23" s="5">
        <v>1112.13</v>
      </c>
      <c r="AE23" s="5">
        <f>AC23-AD23</f>
        <v>859.05</v>
      </c>
      <c r="AF23" s="5">
        <v>29</v>
      </c>
      <c r="AG23" s="5">
        <v>26</v>
      </c>
      <c r="AH23" s="5">
        <v>3</v>
      </c>
      <c r="AI23" s="5">
        <v>26</v>
      </c>
      <c r="AJ23" s="5">
        <v>26</v>
      </c>
      <c r="AK23" s="5">
        <v>0</v>
      </c>
      <c r="AL23" s="4"/>
    </row>
    <row r="24" spans="1:38">
      <c r="A24" s="4" t="s">
        <v>83</v>
      </c>
      <c r="B24" s="4" t="s">
        <v>76</v>
      </c>
      <c r="C24" s="5" t="str">
        <f>VLOOKUP(A24,'[1]6月1号-7.5日任务完成数据'!$A:$C,3,0)</f>
        <v>业务代表</v>
      </c>
      <c r="D24" s="4" t="s">
        <v>41</v>
      </c>
      <c r="E24" s="4" t="s">
        <v>42</v>
      </c>
      <c r="F24" s="4" t="s">
        <v>43</v>
      </c>
      <c r="G24" s="4" t="s">
        <v>44</v>
      </c>
      <c r="H24" s="4">
        <v>3.75</v>
      </c>
      <c r="I24" s="4">
        <v>2</v>
      </c>
      <c r="J24" s="4">
        <v>0</v>
      </c>
      <c r="K24" s="4">
        <v>4</v>
      </c>
      <c r="L24" s="4">
        <v>0</v>
      </c>
      <c r="M24" s="4">
        <v>4</v>
      </c>
      <c r="N24" s="5">
        <f>S24+Z24</f>
        <v>2707.54</v>
      </c>
      <c r="O24" s="5">
        <f>T24+AA24</f>
        <v>2605.74</v>
      </c>
      <c r="P24" s="5">
        <f>N24-O24</f>
        <v>101.8</v>
      </c>
      <c r="Q24" s="5" t="s">
        <v>45</v>
      </c>
      <c r="R24" s="4">
        <v>1834</v>
      </c>
      <c r="S24" s="4">
        <v>1895</v>
      </c>
      <c r="T24" s="4">
        <v>2014</v>
      </c>
      <c r="U24" s="5">
        <f>S24-T24</f>
        <v>-119</v>
      </c>
      <c r="V24" s="5" t="s">
        <v>51</v>
      </c>
      <c r="W24" s="4">
        <v>0</v>
      </c>
      <c r="X24" s="4">
        <v>0</v>
      </c>
      <c r="Y24" s="4"/>
      <c r="Z24" s="5">
        <v>812.54</v>
      </c>
      <c r="AA24" s="5">
        <v>591.74</v>
      </c>
      <c r="AB24" s="5">
        <f>Z24-AA24</f>
        <v>220.8</v>
      </c>
      <c r="AC24" s="5">
        <v>1375.6</v>
      </c>
      <c r="AD24" s="5">
        <v>1354.24</v>
      </c>
      <c r="AE24" s="5">
        <f>AC24-AD24</f>
        <v>21.3599999999999</v>
      </c>
      <c r="AF24" s="5">
        <v>26</v>
      </c>
      <c r="AG24" s="5">
        <v>30</v>
      </c>
      <c r="AH24" s="5">
        <v>-4</v>
      </c>
      <c r="AI24" s="5">
        <v>26</v>
      </c>
      <c r="AJ24" s="5">
        <v>30</v>
      </c>
      <c r="AK24" s="5">
        <v>-4</v>
      </c>
      <c r="AL24" s="4"/>
    </row>
    <row r="25" spans="1:38">
      <c r="A25" s="5" t="s">
        <v>84</v>
      </c>
      <c r="B25" s="5" t="s">
        <v>85</v>
      </c>
      <c r="C25" s="5" t="str">
        <f>VLOOKUP(A25,'[1]6月1号-7.5日任务完成数据'!$A:$C,3,0)</f>
        <v>业务代表</v>
      </c>
      <c r="D25" s="5" t="s">
        <v>48</v>
      </c>
      <c r="E25" s="5" t="s">
        <v>42</v>
      </c>
      <c r="F25" s="5" t="s">
        <v>43</v>
      </c>
      <c r="G25" s="5" t="s">
        <v>44</v>
      </c>
      <c r="H25" s="5">
        <v>5</v>
      </c>
      <c r="I25" s="5">
        <v>2</v>
      </c>
      <c r="J25" s="5">
        <v>2</v>
      </c>
      <c r="K25" s="5">
        <v>5</v>
      </c>
      <c r="L25" s="5">
        <v>1</v>
      </c>
      <c r="M25" s="5">
        <v>4</v>
      </c>
      <c r="N25" s="5">
        <f>S25+Z25</f>
        <v>2661.92</v>
      </c>
      <c r="O25" s="5">
        <f>T25+AA25</f>
        <v>2178.4</v>
      </c>
      <c r="P25" s="5">
        <f>N25-O25</f>
        <v>483.52</v>
      </c>
      <c r="Q25" s="5" t="s">
        <v>45</v>
      </c>
      <c r="R25" s="5">
        <v>1024</v>
      </c>
      <c r="S25" s="5">
        <v>1398</v>
      </c>
      <c r="T25" s="5">
        <v>1131</v>
      </c>
      <c r="U25" s="5">
        <f>S25-T25</f>
        <v>267</v>
      </c>
      <c r="V25" s="5" t="s">
        <v>45</v>
      </c>
      <c r="W25" s="5">
        <v>0</v>
      </c>
      <c r="X25" s="5">
        <v>0</v>
      </c>
      <c r="Y25" s="5"/>
      <c r="Z25" s="5">
        <v>1263.92</v>
      </c>
      <c r="AA25" s="5">
        <v>1047.4</v>
      </c>
      <c r="AB25" s="5">
        <f>Z25-AA25</f>
        <v>216.52</v>
      </c>
      <c r="AC25" s="5">
        <v>2250.6</v>
      </c>
      <c r="AD25" s="5">
        <v>2106.53</v>
      </c>
      <c r="AE25" s="5">
        <f>AC25-AD25</f>
        <v>144.07</v>
      </c>
      <c r="AF25" s="5">
        <v>30</v>
      </c>
      <c r="AG25" s="5">
        <v>31</v>
      </c>
      <c r="AH25" s="5">
        <v>-1</v>
      </c>
      <c r="AI25" s="5">
        <v>28</v>
      </c>
      <c r="AJ25" s="5">
        <v>31</v>
      </c>
      <c r="AK25" s="5">
        <v>-3</v>
      </c>
      <c r="AL25" s="5"/>
    </row>
    <row r="26" spans="1:38">
      <c r="A26" s="5" t="s">
        <v>86</v>
      </c>
      <c r="B26" s="5" t="s">
        <v>55</v>
      </c>
      <c r="C26" s="5" t="s">
        <v>87</v>
      </c>
      <c r="D26" s="5" t="s">
        <v>41</v>
      </c>
      <c r="E26" s="5" t="s">
        <v>42</v>
      </c>
      <c r="F26" s="5" t="s">
        <v>43</v>
      </c>
      <c r="G26" s="5" t="s">
        <v>88</v>
      </c>
      <c r="H26" s="5"/>
      <c r="I26" s="5">
        <v>2</v>
      </c>
      <c r="J26" s="5">
        <v>0</v>
      </c>
      <c r="K26" s="5">
        <v>0</v>
      </c>
      <c r="L26" s="5">
        <v>0</v>
      </c>
      <c r="M26" s="5">
        <v>0</v>
      </c>
      <c r="N26" s="5">
        <f>S26+Z26</f>
        <v>2629.81</v>
      </c>
      <c r="O26" s="5">
        <f>T26+AA26</f>
        <v>3231.98</v>
      </c>
      <c r="P26" s="5">
        <f>N26-O26</f>
        <v>-602.17</v>
      </c>
      <c r="Q26" s="5" t="s">
        <v>51</v>
      </c>
      <c r="R26" s="5">
        <v>0</v>
      </c>
      <c r="S26" s="5">
        <v>376</v>
      </c>
      <c r="T26" s="5">
        <v>634</v>
      </c>
      <c r="U26" s="5">
        <f>S26-T26</f>
        <v>-258</v>
      </c>
      <c r="V26" s="5"/>
      <c r="W26" s="5">
        <v>0</v>
      </c>
      <c r="X26" s="5">
        <v>0</v>
      </c>
      <c r="Y26" s="5"/>
      <c r="Z26" s="5">
        <v>2253.81</v>
      </c>
      <c r="AA26" s="5">
        <v>2597.98</v>
      </c>
      <c r="AB26" s="5">
        <f>Z26-AA26</f>
        <v>-344.17</v>
      </c>
      <c r="AC26" s="5">
        <v>1114.41</v>
      </c>
      <c r="AD26" s="5">
        <v>2641.93</v>
      </c>
      <c r="AE26" s="5">
        <f>AC26-AD26</f>
        <v>-1527.52</v>
      </c>
      <c r="AF26" s="5">
        <v>31</v>
      </c>
      <c r="AG26" s="5">
        <v>31</v>
      </c>
      <c r="AH26" s="5">
        <v>0</v>
      </c>
      <c r="AI26" s="5">
        <v>30</v>
      </c>
      <c r="AJ26" s="5">
        <v>29</v>
      </c>
      <c r="AK26" s="5">
        <v>1</v>
      </c>
      <c r="AL26" s="5" t="s">
        <v>89</v>
      </c>
    </row>
    <row r="27" spans="1:38">
      <c r="A27" s="4" t="s">
        <v>90</v>
      </c>
      <c r="B27" s="4" t="s">
        <v>91</v>
      </c>
      <c r="C27" s="5" t="str">
        <f>VLOOKUP(A27,'[1]6月1号-7.5日任务完成数据'!$A:$C,3,0)</f>
        <v>业务代表</v>
      </c>
      <c r="D27" s="4" t="s">
        <v>41</v>
      </c>
      <c r="E27" s="4" t="s">
        <v>42</v>
      </c>
      <c r="F27" s="4" t="s">
        <v>43</v>
      </c>
      <c r="G27" s="4" t="s">
        <v>44</v>
      </c>
      <c r="H27" s="4">
        <v>5.5</v>
      </c>
      <c r="I27" s="4">
        <v>1</v>
      </c>
      <c r="J27" s="4">
        <v>0</v>
      </c>
      <c r="K27" s="4">
        <v>4</v>
      </c>
      <c r="L27" s="4">
        <v>0</v>
      </c>
      <c r="M27" s="4">
        <v>4</v>
      </c>
      <c r="N27" s="5">
        <f>S27+Z27</f>
        <v>2613.56</v>
      </c>
      <c r="O27" s="5">
        <f>T27+AA27</f>
        <v>3449.35</v>
      </c>
      <c r="P27" s="5">
        <f>N27-O27</f>
        <v>-835.79</v>
      </c>
      <c r="Q27" s="5" t="s">
        <v>51</v>
      </c>
      <c r="R27" s="4">
        <v>1122</v>
      </c>
      <c r="S27" s="4">
        <v>1684</v>
      </c>
      <c r="T27" s="4">
        <v>2076</v>
      </c>
      <c r="U27" s="5">
        <f>S27-T27</f>
        <v>-392</v>
      </c>
      <c r="V27" s="5" t="s">
        <v>51</v>
      </c>
      <c r="W27" s="4">
        <v>0</v>
      </c>
      <c r="X27" s="4">
        <v>0</v>
      </c>
      <c r="Y27" s="4"/>
      <c r="Z27" s="5">
        <v>929.56</v>
      </c>
      <c r="AA27" s="5">
        <v>1373.35</v>
      </c>
      <c r="AB27" s="5">
        <f>Z27-AA27</f>
        <v>-443.79</v>
      </c>
      <c r="AC27" s="5">
        <v>2249.64</v>
      </c>
      <c r="AD27" s="5">
        <v>1549.27</v>
      </c>
      <c r="AE27" s="5">
        <f>AC27-AD27</f>
        <v>700.37</v>
      </c>
      <c r="AF27" s="5">
        <v>31</v>
      </c>
      <c r="AG27" s="5">
        <v>29</v>
      </c>
      <c r="AH27" s="5">
        <v>2</v>
      </c>
      <c r="AI27" s="5">
        <v>29</v>
      </c>
      <c r="AJ27" s="5">
        <v>28</v>
      </c>
      <c r="AK27" s="5">
        <v>1</v>
      </c>
      <c r="AL27" s="4"/>
    </row>
    <row r="28" spans="1:38">
      <c r="A28" s="4" t="s">
        <v>92</v>
      </c>
      <c r="B28" s="4" t="s">
        <v>58</v>
      </c>
      <c r="C28" s="5" t="str">
        <f>VLOOKUP(A28,'[1]6月1号-7.5日任务完成数据'!$A:$C,3,0)</f>
        <v>业务代表</v>
      </c>
      <c r="D28" s="4" t="s">
        <v>41</v>
      </c>
      <c r="E28" s="4" t="s">
        <v>42</v>
      </c>
      <c r="F28" s="4" t="s">
        <v>43</v>
      </c>
      <c r="G28" s="4" t="s">
        <v>44</v>
      </c>
      <c r="H28" s="4">
        <v>4.75</v>
      </c>
      <c r="I28" s="4">
        <v>1</v>
      </c>
      <c r="J28" s="4">
        <v>3</v>
      </c>
      <c r="K28" s="4">
        <v>4</v>
      </c>
      <c r="L28" s="4">
        <v>0</v>
      </c>
      <c r="M28" s="4">
        <v>4</v>
      </c>
      <c r="N28" s="5">
        <f>S28+Z28</f>
        <v>2597.61</v>
      </c>
      <c r="O28" s="5">
        <f>T28+AA28</f>
        <v>1384.71</v>
      </c>
      <c r="P28" s="5">
        <f>N28-O28</f>
        <v>1212.9</v>
      </c>
      <c r="Q28" s="5" t="s">
        <v>45</v>
      </c>
      <c r="R28" s="4">
        <v>2455</v>
      </c>
      <c r="S28" s="4">
        <v>1882</v>
      </c>
      <c r="T28" s="4">
        <v>337</v>
      </c>
      <c r="U28" s="5">
        <f>S28-T28</f>
        <v>1545</v>
      </c>
      <c r="V28" s="5" t="s">
        <v>45</v>
      </c>
      <c r="W28" s="4">
        <v>0</v>
      </c>
      <c r="X28" s="4">
        <v>0</v>
      </c>
      <c r="Y28" s="4"/>
      <c r="Z28" s="5">
        <v>715.61</v>
      </c>
      <c r="AA28" s="5">
        <v>1047.71</v>
      </c>
      <c r="AB28" s="5">
        <f>Z28-AA28</f>
        <v>-332.1</v>
      </c>
      <c r="AC28" s="5">
        <v>2762.83</v>
      </c>
      <c r="AD28" s="5">
        <v>1192.68</v>
      </c>
      <c r="AE28" s="5">
        <f>AC28-AD28</f>
        <v>1570.15</v>
      </c>
      <c r="AF28" s="5">
        <v>48</v>
      </c>
      <c r="AG28" s="5">
        <v>27</v>
      </c>
      <c r="AH28" s="5">
        <v>21</v>
      </c>
      <c r="AI28" s="5">
        <v>36</v>
      </c>
      <c r="AJ28" s="5">
        <v>18</v>
      </c>
      <c r="AK28" s="5">
        <v>18</v>
      </c>
      <c r="AL28" s="4"/>
    </row>
    <row r="29" spans="1:38">
      <c r="A29" s="5" t="s">
        <v>93</v>
      </c>
      <c r="B29" s="5" t="s">
        <v>94</v>
      </c>
      <c r="C29" s="5" t="str">
        <f>VLOOKUP(A29,'[1]6月1号-7.5日任务完成数据'!$A:$C,3,0)</f>
        <v>业务代表</v>
      </c>
      <c r="D29" s="5" t="s">
        <v>41</v>
      </c>
      <c r="E29" s="5" t="s">
        <v>42</v>
      </c>
      <c r="F29" s="5" t="s">
        <v>43</v>
      </c>
      <c r="G29" s="5" t="s">
        <v>44</v>
      </c>
      <c r="H29" s="5">
        <v>4.2</v>
      </c>
      <c r="I29" s="5">
        <v>1</v>
      </c>
      <c r="J29" s="5">
        <v>1</v>
      </c>
      <c r="K29" s="5">
        <v>5</v>
      </c>
      <c r="L29" s="5">
        <v>1</v>
      </c>
      <c r="M29" s="5">
        <v>4</v>
      </c>
      <c r="N29" s="5">
        <f>S29+Z29</f>
        <v>2581.71</v>
      </c>
      <c r="O29" s="5">
        <f>T29+AA29</f>
        <v>2970.94</v>
      </c>
      <c r="P29" s="5">
        <f>N29-O29</f>
        <v>-389.23</v>
      </c>
      <c r="Q29" s="5" t="s">
        <v>51</v>
      </c>
      <c r="R29" s="5">
        <v>2381.15</v>
      </c>
      <c r="S29" s="5">
        <v>2204.41</v>
      </c>
      <c r="T29" s="5">
        <v>2469.94</v>
      </c>
      <c r="U29" s="5">
        <f>S29-T29</f>
        <v>-265.53</v>
      </c>
      <c r="V29" s="5" t="s">
        <v>51</v>
      </c>
      <c r="W29" s="5">
        <v>0</v>
      </c>
      <c r="X29" s="5">
        <v>0</v>
      </c>
      <c r="Y29" s="5"/>
      <c r="Z29" s="5">
        <v>377.3</v>
      </c>
      <c r="AA29" s="5">
        <v>501</v>
      </c>
      <c r="AB29" s="5">
        <f>Z29-AA29</f>
        <v>-123.7</v>
      </c>
      <c r="AC29" s="5">
        <v>775.58</v>
      </c>
      <c r="AD29" s="5">
        <v>628.84</v>
      </c>
      <c r="AE29" s="5">
        <f>AC29-AD29</f>
        <v>146.74</v>
      </c>
      <c r="AF29" s="5">
        <v>34</v>
      </c>
      <c r="AG29" s="5">
        <v>30</v>
      </c>
      <c r="AH29" s="5">
        <v>4</v>
      </c>
      <c r="AI29" s="5">
        <v>32</v>
      </c>
      <c r="AJ29" s="5">
        <v>27</v>
      </c>
      <c r="AK29" s="5">
        <v>5</v>
      </c>
      <c r="AL29" s="5"/>
    </row>
    <row r="30" spans="1:38">
      <c r="A30" s="5" t="s">
        <v>95</v>
      </c>
      <c r="B30" s="5" t="s">
        <v>55</v>
      </c>
      <c r="C30" s="5" t="str">
        <f>VLOOKUP(A30,'[1]6月1号-7.5日任务完成数据'!$A:$C,3,0)</f>
        <v>区域经理</v>
      </c>
      <c r="D30" s="5" t="s">
        <v>48</v>
      </c>
      <c r="E30" s="5" t="s">
        <v>42</v>
      </c>
      <c r="F30" s="5" t="s">
        <v>43</v>
      </c>
      <c r="G30" s="5" t="s">
        <v>44</v>
      </c>
      <c r="H30" s="5">
        <v>1.67</v>
      </c>
      <c r="I30" s="5">
        <v>2</v>
      </c>
      <c r="J30" s="5">
        <v>1</v>
      </c>
      <c r="K30" s="5">
        <v>3</v>
      </c>
      <c r="L30" s="5">
        <v>1</v>
      </c>
      <c r="M30" s="5">
        <v>2</v>
      </c>
      <c r="N30" s="5">
        <f>S30+Z30</f>
        <v>2477.15</v>
      </c>
      <c r="O30" s="5">
        <f>T30+AA30</f>
        <v>1619.39</v>
      </c>
      <c r="P30" s="5">
        <f>N30-O30</f>
        <v>857.76</v>
      </c>
      <c r="Q30" s="5" t="s">
        <v>45</v>
      </c>
      <c r="R30" s="5">
        <v>661.15</v>
      </c>
      <c r="S30" s="5">
        <v>661.15</v>
      </c>
      <c r="T30" s="5">
        <v>1417</v>
      </c>
      <c r="U30" s="5">
        <f>S30-T30</f>
        <v>-755.85</v>
      </c>
      <c r="V30" s="5" t="s">
        <v>51</v>
      </c>
      <c r="W30" s="5">
        <v>0</v>
      </c>
      <c r="X30" s="5">
        <v>1</v>
      </c>
      <c r="Y30" s="5"/>
      <c r="Z30" s="5">
        <v>1816</v>
      </c>
      <c r="AA30" s="5">
        <v>202.39</v>
      </c>
      <c r="AB30" s="5">
        <f>Z30-AA30</f>
        <v>1613.61</v>
      </c>
      <c r="AC30" s="5">
        <v>1197.83</v>
      </c>
      <c r="AD30" s="5">
        <v>3107.91</v>
      </c>
      <c r="AE30" s="5">
        <f>AC30-AD30</f>
        <v>-1910.08</v>
      </c>
      <c r="AF30" s="5">
        <v>8</v>
      </c>
      <c r="AG30" s="5">
        <v>18</v>
      </c>
      <c r="AH30" s="5">
        <v>-10</v>
      </c>
      <c r="AI30" s="5">
        <v>8</v>
      </c>
      <c r="AJ30" s="5">
        <v>16</v>
      </c>
      <c r="AK30" s="5">
        <v>-8</v>
      </c>
      <c r="AL30" s="5"/>
    </row>
    <row r="31" spans="1:38">
      <c r="A31" s="4" t="s">
        <v>96</v>
      </c>
      <c r="B31" s="4" t="s">
        <v>58</v>
      </c>
      <c r="C31" s="5" t="str">
        <f>VLOOKUP(A31,'[1]6月1号-7.5日任务完成数据'!$A:$C,3,0)</f>
        <v>区域经理</v>
      </c>
      <c r="D31" s="4" t="s">
        <v>41</v>
      </c>
      <c r="E31" s="4" t="s">
        <v>42</v>
      </c>
      <c r="F31" s="4" t="s">
        <v>43</v>
      </c>
      <c r="G31" s="4" t="s">
        <v>44</v>
      </c>
      <c r="H31" s="4">
        <v>3.33</v>
      </c>
      <c r="I31" s="4">
        <v>4</v>
      </c>
      <c r="J31" s="4">
        <v>1</v>
      </c>
      <c r="K31" s="4">
        <v>3</v>
      </c>
      <c r="L31" s="4">
        <v>0</v>
      </c>
      <c r="M31" s="4">
        <v>3</v>
      </c>
      <c r="N31" s="5">
        <f>S31+Z31</f>
        <v>2443.87</v>
      </c>
      <c r="O31" s="5">
        <f>T31+AA31</f>
        <v>2173.47</v>
      </c>
      <c r="P31" s="5">
        <f>N31-O31</f>
        <v>270.4</v>
      </c>
      <c r="Q31" s="5" t="s">
        <v>45</v>
      </c>
      <c r="R31" s="4">
        <v>2443.87</v>
      </c>
      <c r="S31" s="4">
        <v>2443.87</v>
      </c>
      <c r="T31" s="4">
        <v>2173.47</v>
      </c>
      <c r="U31" s="5">
        <f>S31-T31</f>
        <v>270.4</v>
      </c>
      <c r="V31" s="5" t="s">
        <v>45</v>
      </c>
      <c r="W31" s="4">
        <v>0</v>
      </c>
      <c r="X31" s="4">
        <v>0</v>
      </c>
      <c r="Y31" s="4"/>
      <c r="Z31" s="5"/>
      <c r="AA31" s="5"/>
      <c r="AB31" s="5"/>
      <c r="AC31" s="5">
        <v>0</v>
      </c>
      <c r="AD31" s="5">
        <v>22.15</v>
      </c>
      <c r="AE31" s="5">
        <f>AC31-AD31</f>
        <v>-22.15</v>
      </c>
      <c r="AF31" s="5">
        <v>11</v>
      </c>
      <c r="AG31" s="5">
        <v>1</v>
      </c>
      <c r="AH31" s="5">
        <v>10</v>
      </c>
      <c r="AI31" s="5">
        <v>11</v>
      </c>
      <c r="AJ31" s="5">
        <v>1</v>
      </c>
      <c r="AK31" s="5">
        <v>10</v>
      </c>
      <c r="AL31" s="4"/>
    </row>
    <row r="32" spans="1:38">
      <c r="A32" s="4" t="s">
        <v>97</v>
      </c>
      <c r="B32" s="4" t="s">
        <v>76</v>
      </c>
      <c r="C32" s="5" t="str">
        <f>VLOOKUP(A32,'[1]6月1号-7.5日任务完成数据'!$A:$C,3,0)</f>
        <v>业务代表</v>
      </c>
      <c r="D32" s="4" t="s">
        <v>98</v>
      </c>
      <c r="E32" s="4" t="s">
        <v>42</v>
      </c>
      <c r="F32" s="4" t="s">
        <v>43</v>
      </c>
      <c r="G32" s="4" t="s">
        <v>44</v>
      </c>
      <c r="H32" s="4">
        <v>11.5</v>
      </c>
      <c r="I32" s="4">
        <v>3</v>
      </c>
      <c r="J32" s="4">
        <v>0</v>
      </c>
      <c r="K32" s="4">
        <v>2</v>
      </c>
      <c r="L32" s="4">
        <v>0</v>
      </c>
      <c r="M32" s="4">
        <v>2</v>
      </c>
      <c r="N32" s="5">
        <f>S32+Z32</f>
        <v>2422.66</v>
      </c>
      <c r="O32" s="5">
        <f>T32+AA32</f>
        <v>1333.76</v>
      </c>
      <c r="P32" s="5">
        <f>N32-O32</f>
        <v>1088.9</v>
      </c>
      <c r="Q32" s="5" t="s">
        <v>45</v>
      </c>
      <c r="R32" s="4">
        <v>401.78</v>
      </c>
      <c r="S32" s="4">
        <v>1150.08</v>
      </c>
      <c r="T32" s="4">
        <v>1333.76</v>
      </c>
      <c r="U32" s="5">
        <f>S32-T32</f>
        <v>-183.68</v>
      </c>
      <c r="V32" s="5" t="s">
        <v>51</v>
      </c>
      <c r="W32" s="4">
        <v>0</v>
      </c>
      <c r="X32" s="4">
        <v>0</v>
      </c>
      <c r="Y32" s="4"/>
      <c r="Z32" s="5">
        <v>1272.58</v>
      </c>
      <c r="AA32" s="5"/>
      <c r="AB32" s="5"/>
      <c r="AC32" s="5">
        <v>1648.11</v>
      </c>
      <c r="AD32" s="5">
        <v>2120.97</v>
      </c>
      <c r="AE32" s="5">
        <f>AC32-AD32</f>
        <v>-472.86</v>
      </c>
      <c r="AF32" s="5">
        <v>28</v>
      </c>
      <c r="AG32" s="5">
        <v>28</v>
      </c>
      <c r="AH32" s="5">
        <v>0</v>
      </c>
      <c r="AI32" s="5">
        <v>28</v>
      </c>
      <c r="AJ32" s="5">
        <v>28</v>
      </c>
      <c r="AK32" s="5">
        <v>0</v>
      </c>
      <c r="AL32" s="4"/>
    </row>
    <row r="33" spans="1:38">
      <c r="A33" s="4" t="s">
        <v>99</v>
      </c>
      <c r="B33" s="4" t="s">
        <v>80</v>
      </c>
      <c r="C33" s="5" t="str">
        <f>VLOOKUP(A33,'[1]6月1号-7.5日任务完成数据'!$A:$C,3,0)</f>
        <v>业务代表</v>
      </c>
      <c r="D33" s="4" t="s">
        <v>68</v>
      </c>
      <c r="E33" s="4" t="s">
        <v>42</v>
      </c>
      <c r="F33" s="4" t="s">
        <v>43</v>
      </c>
      <c r="G33" s="4" t="s">
        <v>44</v>
      </c>
      <c r="H33" s="4">
        <v>3</v>
      </c>
      <c r="I33" s="4">
        <v>5</v>
      </c>
      <c r="J33" s="4">
        <v>4</v>
      </c>
      <c r="K33" s="4">
        <v>4</v>
      </c>
      <c r="L33" s="4">
        <v>0</v>
      </c>
      <c r="M33" s="4">
        <v>4</v>
      </c>
      <c r="N33" s="5">
        <f>S33+Z33</f>
        <v>2420.41</v>
      </c>
      <c r="O33" s="5">
        <f>T33+AA33</f>
        <v>2425.46</v>
      </c>
      <c r="P33" s="5">
        <f>N33-O33</f>
        <v>-5.05000000000018</v>
      </c>
      <c r="Q33" s="5" t="s">
        <v>51</v>
      </c>
      <c r="R33" s="4">
        <v>1702.15</v>
      </c>
      <c r="S33" s="4">
        <v>1520.15</v>
      </c>
      <c r="T33" s="4">
        <v>1199</v>
      </c>
      <c r="U33" s="5">
        <f>S33-T33</f>
        <v>321.15</v>
      </c>
      <c r="V33" s="5" t="s">
        <v>45</v>
      </c>
      <c r="W33" s="4">
        <v>0</v>
      </c>
      <c r="X33" s="4">
        <v>0</v>
      </c>
      <c r="Y33" s="4"/>
      <c r="Z33" s="5">
        <v>900.26</v>
      </c>
      <c r="AA33" s="5">
        <v>1226.46</v>
      </c>
      <c r="AB33" s="5">
        <f>Z33-AA33</f>
        <v>-326.2</v>
      </c>
      <c r="AC33" s="5">
        <v>1199.75</v>
      </c>
      <c r="AD33" s="5">
        <v>1500.43</v>
      </c>
      <c r="AE33" s="5">
        <f>AC33-AD33</f>
        <v>-300.68</v>
      </c>
      <c r="AF33" s="5">
        <v>29</v>
      </c>
      <c r="AG33" s="5">
        <v>28</v>
      </c>
      <c r="AH33" s="5">
        <v>1</v>
      </c>
      <c r="AI33" s="5">
        <v>28</v>
      </c>
      <c r="AJ33" s="5">
        <v>28</v>
      </c>
      <c r="AK33" s="5">
        <v>0</v>
      </c>
      <c r="AL33" s="4"/>
    </row>
    <row r="34" spans="1:38">
      <c r="A34" s="4" t="s">
        <v>100</v>
      </c>
      <c r="B34" s="4" t="s">
        <v>94</v>
      </c>
      <c r="C34" s="5" t="str">
        <f>VLOOKUP(A34,'[1]6月1号-7.5日任务完成数据'!$A:$C,3,0)</f>
        <v>业务代表</v>
      </c>
      <c r="D34" s="4" t="s">
        <v>41</v>
      </c>
      <c r="E34" s="4" t="s">
        <v>42</v>
      </c>
      <c r="F34" s="4" t="s">
        <v>43</v>
      </c>
      <c r="G34" s="4" t="s">
        <v>44</v>
      </c>
      <c r="H34" s="4">
        <v>4.75</v>
      </c>
      <c r="I34" s="4">
        <v>1</v>
      </c>
      <c r="J34" s="4">
        <v>1</v>
      </c>
      <c r="K34" s="4">
        <v>4</v>
      </c>
      <c r="L34" s="4">
        <v>0</v>
      </c>
      <c r="M34" s="4">
        <v>4</v>
      </c>
      <c r="N34" s="5">
        <f>S34+Z34</f>
        <v>2410.49</v>
      </c>
      <c r="O34" s="5">
        <f>T34+AA34</f>
        <v>597.78</v>
      </c>
      <c r="P34" s="5">
        <f>N34-O34</f>
        <v>1812.71</v>
      </c>
      <c r="Q34" s="5" t="s">
        <v>45</v>
      </c>
      <c r="R34" s="4">
        <v>385.89</v>
      </c>
      <c r="S34" s="4">
        <v>385.89</v>
      </c>
      <c r="T34" s="4">
        <v>597.78</v>
      </c>
      <c r="U34" s="5">
        <f>S34-T34</f>
        <v>-211.89</v>
      </c>
      <c r="V34" s="5" t="s">
        <v>51</v>
      </c>
      <c r="W34" s="4">
        <v>0</v>
      </c>
      <c r="X34" s="4">
        <v>0</v>
      </c>
      <c r="Y34" s="4"/>
      <c r="Z34" s="5">
        <v>2024.6</v>
      </c>
      <c r="AA34" s="5"/>
      <c r="AB34" s="5"/>
      <c r="AC34" s="5">
        <v>1916.72</v>
      </c>
      <c r="AD34" s="5">
        <v>1690.82</v>
      </c>
      <c r="AE34" s="5">
        <f>AC34-AD34</f>
        <v>225.9</v>
      </c>
      <c r="AF34" s="5">
        <v>28</v>
      </c>
      <c r="AG34" s="5">
        <v>29</v>
      </c>
      <c r="AH34" s="5">
        <v>-1</v>
      </c>
      <c r="AI34" s="5">
        <v>27</v>
      </c>
      <c r="AJ34" s="5">
        <v>26</v>
      </c>
      <c r="AK34" s="5">
        <v>1</v>
      </c>
      <c r="AL34" s="4"/>
    </row>
    <row r="35" spans="1:38">
      <c r="A35" s="5" t="s">
        <v>101</v>
      </c>
      <c r="B35" s="5" t="s">
        <v>94</v>
      </c>
      <c r="C35" s="5" t="str">
        <f>VLOOKUP(A35,'[1]6月1号-7.5日任务完成数据'!$A:$C,3,0)</f>
        <v>区域经理</v>
      </c>
      <c r="D35" s="5" t="s">
        <v>41</v>
      </c>
      <c r="E35" s="5" t="s">
        <v>42</v>
      </c>
      <c r="F35" s="5" t="s">
        <v>43</v>
      </c>
      <c r="G35" s="5" t="s">
        <v>44</v>
      </c>
      <c r="H35" s="5">
        <v>3.25</v>
      </c>
      <c r="I35" s="5">
        <v>2</v>
      </c>
      <c r="J35" s="5">
        <v>2</v>
      </c>
      <c r="K35" s="5">
        <v>4</v>
      </c>
      <c r="L35" s="5">
        <v>2</v>
      </c>
      <c r="M35" s="5">
        <v>2</v>
      </c>
      <c r="N35" s="5">
        <f>S35+Z35</f>
        <v>2368.11</v>
      </c>
      <c r="O35" s="5">
        <f>T35+AA35</f>
        <v>2779</v>
      </c>
      <c r="P35" s="5">
        <f>N35-O35</f>
        <v>-410.89</v>
      </c>
      <c r="Q35" s="5" t="s">
        <v>51</v>
      </c>
      <c r="R35" s="5">
        <v>786</v>
      </c>
      <c r="S35" s="5">
        <v>2368.11</v>
      </c>
      <c r="T35" s="5">
        <v>2779</v>
      </c>
      <c r="U35" s="5">
        <f>S35-T35</f>
        <v>-410.89</v>
      </c>
      <c r="V35" s="5" t="s">
        <v>51</v>
      </c>
      <c r="W35" s="5">
        <v>0</v>
      </c>
      <c r="X35" s="5">
        <v>1</v>
      </c>
      <c r="Y35" s="5"/>
      <c r="Z35" s="5"/>
      <c r="AA35" s="5"/>
      <c r="AB35" s="5"/>
      <c r="AC35" s="5">
        <v>0</v>
      </c>
      <c r="AD35" s="5"/>
      <c r="AE35" s="5">
        <f>AC35-AD35</f>
        <v>0</v>
      </c>
      <c r="AF35" s="5">
        <v>8</v>
      </c>
      <c r="AG35" s="5">
        <v>0</v>
      </c>
      <c r="AH35" s="5">
        <v>8</v>
      </c>
      <c r="AI35" s="5">
        <v>8</v>
      </c>
      <c r="AJ35" s="5">
        <v>0</v>
      </c>
      <c r="AK35" s="5">
        <v>8</v>
      </c>
      <c r="AL35" s="5"/>
    </row>
    <row r="36" spans="1:38">
      <c r="A36" s="4" t="s">
        <v>102</v>
      </c>
      <c r="B36" s="4" t="s">
        <v>76</v>
      </c>
      <c r="C36" s="5" t="str">
        <f>VLOOKUP(A36,'[1]6月1号-7.5日任务完成数据'!$A:$C,3,0)</f>
        <v>业务代表</v>
      </c>
      <c r="D36" s="4" t="s">
        <v>41</v>
      </c>
      <c r="E36" s="4" t="s">
        <v>42</v>
      </c>
      <c r="F36" s="4" t="s">
        <v>43</v>
      </c>
      <c r="G36" s="4" t="s">
        <v>44</v>
      </c>
      <c r="H36" s="4">
        <v>5.75</v>
      </c>
      <c r="I36" s="4">
        <v>4</v>
      </c>
      <c r="J36" s="4">
        <v>4</v>
      </c>
      <c r="K36" s="4">
        <v>4</v>
      </c>
      <c r="L36" s="4">
        <v>0</v>
      </c>
      <c r="M36" s="4">
        <v>4</v>
      </c>
      <c r="N36" s="5">
        <f>S36+Z36</f>
        <v>2317.13</v>
      </c>
      <c r="O36" s="5">
        <f>T36+AA36</f>
        <v>2478.01</v>
      </c>
      <c r="P36" s="5">
        <f>N36-O36</f>
        <v>-160.88</v>
      </c>
      <c r="Q36" s="5" t="s">
        <v>51</v>
      </c>
      <c r="R36" s="4">
        <v>1219</v>
      </c>
      <c r="S36" s="4">
        <v>1219</v>
      </c>
      <c r="T36" s="4">
        <v>1760.55</v>
      </c>
      <c r="U36" s="5">
        <f>S36-T36</f>
        <v>-541.55</v>
      </c>
      <c r="V36" s="5" t="s">
        <v>51</v>
      </c>
      <c r="W36" s="4">
        <v>0</v>
      </c>
      <c r="X36" s="4">
        <v>0</v>
      </c>
      <c r="Y36" s="4"/>
      <c r="Z36" s="5">
        <v>1098.13</v>
      </c>
      <c r="AA36" s="5">
        <v>717.46</v>
      </c>
      <c r="AB36" s="5">
        <f>Z36-AA36</f>
        <v>380.67</v>
      </c>
      <c r="AC36" s="5">
        <v>1977.12</v>
      </c>
      <c r="AD36" s="5">
        <v>1830.22</v>
      </c>
      <c r="AE36" s="5">
        <f>AC36-AD36</f>
        <v>146.9</v>
      </c>
      <c r="AF36" s="5">
        <v>26</v>
      </c>
      <c r="AG36" s="5">
        <v>26</v>
      </c>
      <c r="AH36" s="5">
        <v>0</v>
      </c>
      <c r="AI36" s="5">
        <v>26</v>
      </c>
      <c r="AJ36" s="5">
        <v>26</v>
      </c>
      <c r="AK36" s="5">
        <v>0</v>
      </c>
      <c r="AL36" s="4"/>
    </row>
    <row r="37" spans="1:38">
      <c r="A37" s="4" t="s">
        <v>103</v>
      </c>
      <c r="B37" s="4" t="s">
        <v>76</v>
      </c>
      <c r="C37" s="5" t="str">
        <f>VLOOKUP(A37,'[1]6月1号-7.5日任务完成数据'!$A:$C,3,0)</f>
        <v>业务代表</v>
      </c>
      <c r="D37" s="4" t="s">
        <v>41</v>
      </c>
      <c r="E37" s="4" t="s">
        <v>42</v>
      </c>
      <c r="F37" s="4" t="s">
        <v>43</v>
      </c>
      <c r="G37" s="4" t="s">
        <v>44</v>
      </c>
      <c r="H37" s="4">
        <v>1</v>
      </c>
      <c r="I37" s="4">
        <v>1</v>
      </c>
      <c r="J37" s="4">
        <v>0</v>
      </c>
      <c r="K37" s="4">
        <v>1</v>
      </c>
      <c r="L37" s="4">
        <v>0</v>
      </c>
      <c r="M37" s="4">
        <v>1</v>
      </c>
      <c r="N37" s="5">
        <f>S37+Z37</f>
        <v>2316.88</v>
      </c>
      <c r="O37" s="5">
        <f>T37+AA37</f>
        <v>1740.22</v>
      </c>
      <c r="P37" s="5">
        <f>N37-O37</f>
        <v>576.66</v>
      </c>
      <c r="Q37" s="5" t="s">
        <v>45</v>
      </c>
      <c r="R37" s="4">
        <v>269</v>
      </c>
      <c r="S37" s="4">
        <v>1496.45</v>
      </c>
      <c r="T37" s="4">
        <v>991.21</v>
      </c>
      <c r="U37" s="5">
        <f>S37-T37</f>
        <v>505.24</v>
      </c>
      <c r="V37" s="5" t="s">
        <v>45</v>
      </c>
      <c r="W37" s="4">
        <v>0</v>
      </c>
      <c r="X37" s="4">
        <v>0</v>
      </c>
      <c r="Y37" s="4"/>
      <c r="Z37" s="5">
        <v>820.43</v>
      </c>
      <c r="AA37" s="5">
        <v>749.01</v>
      </c>
      <c r="AB37" s="5">
        <f>Z37-AA37</f>
        <v>71.42</v>
      </c>
      <c r="AC37" s="5">
        <v>1273.87</v>
      </c>
      <c r="AD37" s="5">
        <v>1367.38</v>
      </c>
      <c r="AE37" s="5">
        <f>AC37-AD37</f>
        <v>-93.5100000000002</v>
      </c>
      <c r="AF37" s="5">
        <v>27</v>
      </c>
      <c r="AG37" s="5">
        <v>26</v>
      </c>
      <c r="AH37" s="5">
        <v>1</v>
      </c>
      <c r="AI37" s="5">
        <v>27</v>
      </c>
      <c r="AJ37" s="5">
        <v>26</v>
      </c>
      <c r="AK37" s="5">
        <v>1</v>
      </c>
      <c r="AL37" s="4"/>
    </row>
    <row r="38" spans="1:38">
      <c r="A38" s="4" t="s">
        <v>104</v>
      </c>
      <c r="B38" s="4" t="s">
        <v>80</v>
      </c>
      <c r="C38" s="5" t="str">
        <f>VLOOKUP(A38,'[1]6月1号-7.5日任务完成数据'!$A:$C,3,0)</f>
        <v>业务经理</v>
      </c>
      <c r="D38" s="4" t="s">
        <v>68</v>
      </c>
      <c r="E38" s="4" t="s">
        <v>42</v>
      </c>
      <c r="F38" s="4" t="s">
        <v>43</v>
      </c>
      <c r="G38" s="4" t="s">
        <v>44</v>
      </c>
      <c r="H38" s="4">
        <v>3.75</v>
      </c>
      <c r="I38" s="4">
        <v>2</v>
      </c>
      <c r="J38" s="4">
        <v>2</v>
      </c>
      <c r="K38" s="4">
        <v>4</v>
      </c>
      <c r="L38" s="4">
        <v>0</v>
      </c>
      <c r="M38" s="4">
        <v>4</v>
      </c>
      <c r="N38" s="5">
        <f>S38+Z38</f>
        <v>2113.51</v>
      </c>
      <c r="O38" s="5">
        <f>T38+AA38</f>
        <v>1579.44</v>
      </c>
      <c r="P38" s="5">
        <f>N38-O38</f>
        <v>534.07</v>
      </c>
      <c r="Q38" s="5" t="s">
        <v>45</v>
      </c>
      <c r="R38" s="4">
        <v>390.94</v>
      </c>
      <c r="S38" s="4">
        <v>390.94</v>
      </c>
      <c r="T38" s="4">
        <v>497</v>
      </c>
      <c r="U38" s="5">
        <f>S38-T38</f>
        <v>-106.06</v>
      </c>
      <c r="V38" s="5" t="s">
        <v>51</v>
      </c>
      <c r="W38" s="4">
        <v>0</v>
      </c>
      <c r="X38" s="4">
        <v>0</v>
      </c>
      <c r="Y38" s="4"/>
      <c r="Z38" s="5">
        <v>1722.57</v>
      </c>
      <c r="AA38" s="5">
        <v>1082.44</v>
      </c>
      <c r="AB38" s="5">
        <f>Z38-AA38</f>
        <v>640.13</v>
      </c>
      <c r="AC38" s="5">
        <v>1953.34</v>
      </c>
      <c r="AD38" s="5">
        <v>2870.95</v>
      </c>
      <c r="AE38" s="5">
        <f>AC38-AD38</f>
        <v>-917.61</v>
      </c>
      <c r="AF38" s="5">
        <v>26</v>
      </c>
      <c r="AG38" s="5">
        <v>36</v>
      </c>
      <c r="AH38" s="5">
        <v>-10</v>
      </c>
      <c r="AI38" s="5">
        <v>26</v>
      </c>
      <c r="AJ38" s="5">
        <v>35</v>
      </c>
      <c r="AK38" s="5">
        <v>-9</v>
      </c>
      <c r="AL38" s="4"/>
    </row>
    <row r="39" spans="1:38">
      <c r="A39" s="4" t="s">
        <v>105</v>
      </c>
      <c r="B39" s="4" t="s">
        <v>106</v>
      </c>
      <c r="C39" s="5" t="str">
        <f>VLOOKUP(A39,'[1]6月1号-7.5日任务完成数据'!$A:$C,3,0)</f>
        <v>业务代表</v>
      </c>
      <c r="D39" s="4" t="s">
        <v>107</v>
      </c>
      <c r="E39" s="4" t="s">
        <v>42</v>
      </c>
      <c r="F39" s="4" t="s">
        <v>43</v>
      </c>
      <c r="G39" s="4" t="s">
        <v>44</v>
      </c>
      <c r="H39" s="4">
        <v>5</v>
      </c>
      <c r="I39" s="4">
        <v>1</v>
      </c>
      <c r="J39" s="4">
        <v>2</v>
      </c>
      <c r="K39" s="4">
        <v>3</v>
      </c>
      <c r="L39" s="4">
        <v>0</v>
      </c>
      <c r="M39" s="4">
        <v>3</v>
      </c>
      <c r="N39" s="5">
        <f>S39+Z39</f>
        <v>2090.44</v>
      </c>
      <c r="O39" s="5">
        <f>T39+AA39</f>
        <v>2182.02</v>
      </c>
      <c r="P39" s="5">
        <f>N39-O39</f>
        <v>-91.5799999999999</v>
      </c>
      <c r="Q39" s="5" t="s">
        <v>51</v>
      </c>
      <c r="R39" s="4">
        <v>192</v>
      </c>
      <c r="S39" s="4">
        <v>551</v>
      </c>
      <c r="T39" s="4">
        <v>1198.05</v>
      </c>
      <c r="U39" s="5">
        <f>S39-T39</f>
        <v>-647.05</v>
      </c>
      <c r="V39" s="5" t="s">
        <v>51</v>
      </c>
      <c r="W39" s="4">
        <v>0</v>
      </c>
      <c r="X39" s="4">
        <v>0</v>
      </c>
      <c r="Y39" s="4"/>
      <c r="Z39" s="5">
        <v>1539.44</v>
      </c>
      <c r="AA39" s="5">
        <v>983.97</v>
      </c>
      <c r="AB39" s="5">
        <f>Z39-AA39</f>
        <v>555.47</v>
      </c>
      <c r="AC39" s="5">
        <v>1216.61</v>
      </c>
      <c r="AD39" s="5">
        <v>2565.74</v>
      </c>
      <c r="AE39" s="5">
        <f>AC39-AD39</f>
        <v>-1349.13</v>
      </c>
      <c r="AF39" s="5">
        <v>33</v>
      </c>
      <c r="AG39" s="5">
        <v>45</v>
      </c>
      <c r="AH39" s="5">
        <v>-12</v>
      </c>
      <c r="AI39" s="5">
        <v>30</v>
      </c>
      <c r="AJ39" s="5">
        <v>34</v>
      </c>
      <c r="AK39" s="5">
        <v>-4</v>
      </c>
      <c r="AL39" s="4"/>
    </row>
    <row r="40" spans="1:38">
      <c r="A40" s="4" t="s">
        <v>108</v>
      </c>
      <c r="B40" s="4" t="s">
        <v>40</v>
      </c>
      <c r="C40" s="5" t="str">
        <f>VLOOKUP(A40,'[1]6月1号-7.5日任务完成数据'!$A:$C,3,0)</f>
        <v>业务代表</v>
      </c>
      <c r="D40" s="4" t="s">
        <v>41</v>
      </c>
      <c r="E40" s="4" t="s">
        <v>42</v>
      </c>
      <c r="F40" s="4" t="s">
        <v>43</v>
      </c>
      <c r="G40" s="4" t="s">
        <v>44</v>
      </c>
      <c r="H40" s="4">
        <v>5</v>
      </c>
      <c r="I40" s="4">
        <v>1</v>
      </c>
      <c r="J40" s="4">
        <v>0</v>
      </c>
      <c r="K40" s="4">
        <v>4</v>
      </c>
      <c r="L40" s="4">
        <v>0</v>
      </c>
      <c r="M40" s="4">
        <v>4</v>
      </c>
      <c r="N40" s="5">
        <f>S40+Z40</f>
        <v>2066.44</v>
      </c>
      <c r="O40" s="5">
        <f>T40+AA40</f>
        <v>2642.81</v>
      </c>
      <c r="P40" s="5">
        <f>N40-O40</f>
        <v>-576.37</v>
      </c>
      <c r="Q40" s="5" t="s">
        <v>51</v>
      </c>
      <c r="R40" s="4">
        <v>1824.44</v>
      </c>
      <c r="S40" s="4">
        <v>2066.44</v>
      </c>
      <c r="T40" s="4">
        <v>1741</v>
      </c>
      <c r="U40" s="5">
        <f>S40-T40</f>
        <v>325.44</v>
      </c>
      <c r="V40" s="5" t="s">
        <v>45</v>
      </c>
      <c r="W40" s="4">
        <v>0</v>
      </c>
      <c r="X40" s="4">
        <v>0</v>
      </c>
      <c r="Y40" s="4"/>
      <c r="Z40" s="5"/>
      <c r="AA40" s="5">
        <v>901.81</v>
      </c>
      <c r="AB40" s="5"/>
      <c r="AC40" s="5">
        <v>1581.85</v>
      </c>
      <c r="AD40" s="5">
        <v>1640.15</v>
      </c>
      <c r="AE40" s="5">
        <f>AC40-AD40</f>
        <v>-58.3000000000002</v>
      </c>
      <c r="AF40" s="5">
        <v>31</v>
      </c>
      <c r="AG40" s="5">
        <v>30</v>
      </c>
      <c r="AH40" s="5">
        <v>1</v>
      </c>
      <c r="AI40" s="5">
        <v>29</v>
      </c>
      <c r="AJ40" s="5">
        <v>26</v>
      </c>
      <c r="AK40" s="5">
        <v>3</v>
      </c>
      <c r="AL40" s="4"/>
    </row>
    <row r="41" spans="1:38">
      <c r="A41" s="4" t="s">
        <v>109</v>
      </c>
      <c r="B41" s="4" t="s">
        <v>110</v>
      </c>
      <c r="C41" s="5" t="str">
        <f>VLOOKUP(A41,'[1]6月1号-7.5日任务完成数据'!$A:$C,3,0)</f>
        <v>业务代表</v>
      </c>
      <c r="D41" s="4" t="s">
        <v>48</v>
      </c>
      <c r="E41" s="4" t="s">
        <v>42</v>
      </c>
      <c r="F41" s="4" t="s">
        <v>43</v>
      </c>
      <c r="G41" s="4" t="s">
        <v>44</v>
      </c>
      <c r="H41" s="4">
        <v>4</v>
      </c>
      <c r="I41" s="4">
        <v>2</v>
      </c>
      <c r="J41" s="4">
        <v>1</v>
      </c>
      <c r="K41" s="4">
        <v>4</v>
      </c>
      <c r="L41" s="4">
        <v>0</v>
      </c>
      <c r="M41" s="4">
        <v>4</v>
      </c>
      <c r="N41" s="5">
        <f>S41+Z41</f>
        <v>2015</v>
      </c>
      <c r="O41" s="5">
        <f>T41+AA41</f>
        <v>3545</v>
      </c>
      <c r="P41" s="5">
        <f>N41-O41</f>
        <v>-1530</v>
      </c>
      <c r="Q41" s="5" t="s">
        <v>51</v>
      </c>
      <c r="R41" s="4">
        <v>475</v>
      </c>
      <c r="S41" s="4">
        <v>664</v>
      </c>
      <c r="T41" s="4">
        <v>2330</v>
      </c>
      <c r="U41" s="5">
        <f>S41-T41</f>
        <v>-1666</v>
      </c>
      <c r="V41" s="5" t="s">
        <v>51</v>
      </c>
      <c r="W41" s="4">
        <v>0</v>
      </c>
      <c r="X41" s="4">
        <v>0</v>
      </c>
      <c r="Y41" s="4"/>
      <c r="Z41" s="5">
        <v>1351</v>
      </c>
      <c r="AA41" s="5">
        <v>1215</v>
      </c>
      <c r="AB41" s="5">
        <f>Z41-AA41</f>
        <v>136</v>
      </c>
      <c r="AC41" s="5">
        <v>3135.08</v>
      </c>
      <c r="AD41" s="5">
        <v>2252.22</v>
      </c>
      <c r="AE41" s="5">
        <f>AC41-AD41</f>
        <v>882.86</v>
      </c>
      <c r="AF41" s="5">
        <v>44</v>
      </c>
      <c r="AG41" s="5">
        <v>23</v>
      </c>
      <c r="AH41" s="5">
        <v>21</v>
      </c>
      <c r="AI41" s="5">
        <v>35</v>
      </c>
      <c r="AJ41" s="5">
        <v>22</v>
      </c>
      <c r="AK41" s="5">
        <v>13</v>
      </c>
      <c r="AL41" s="4"/>
    </row>
    <row r="42" spans="1:38">
      <c r="A42" s="5" t="s">
        <v>111</v>
      </c>
      <c r="B42" s="5" t="s">
        <v>62</v>
      </c>
      <c r="C42" s="5" t="str">
        <f>VLOOKUP(A42,'[1]6月1号-7.5日任务完成数据'!$A:$C,3,0)</f>
        <v>区域经理</v>
      </c>
      <c r="D42" s="5" t="s">
        <v>48</v>
      </c>
      <c r="E42" s="5" t="s">
        <v>42</v>
      </c>
      <c r="F42" s="5" t="s">
        <v>43</v>
      </c>
      <c r="G42" s="5" t="s">
        <v>44</v>
      </c>
      <c r="H42" s="5">
        <v>5.67</v>
      </c>
      <c r="I42" s="5">
        <v>3</v>
      </c>
      <c r="J42" s="5">
        <v>2</v>
      </c>
      <c r="K42" s="5">
        <v>3</v>
      </c>
      <c r="L42" s="5">
        <v>2</v>
      </c>
      <c r="M42" s="5">
        <v>1</v>
      </c>
      <c r="N42" s="5">
        <f>S42+Z42</f>
        <v>1962.07</v>
      </c>
      <c r="O42" s="5">
        <f>T42+AA42</f>
        <v>1573.3</v>
      </c>
      <c r="P42" s="5">
        <f>N42-O42</f>
        <v>388.77</v>
      </c>
      <c r="Q42" s="5" t="s">
        <v>45</v>
      </c>
      <c r="R42" s="5">
        <v>1091.3</v>
      </c>
      <c r="S42" s="5">
        <v>1962.07</v>
      </c>
      <c r="T42" s="5">
        <v>1573.3</v>
      </c>
      <c r="U42" s="5">
        <f>S42-T42</f>
        <v>388.77</v>
      </c>
      <c r="V42" s="5" t="s">
        <v>45</v>
      </c>
      <c r="W42" s="5">
        <v>0</v>
      </c>
      <c r="X42" s="5">
        <v>0</v>
      </c>
      <c r="Y42" s="5"/>
      <c r="Z42" s="5"/>
      <c r="AA42" s="5"/>
      <c r="AB42" s="5"/>
      <c r="AC42" s="5">
        <v>0</v>
      </c>
      <c r="AD42" s="5">
        <v>0</v>
      </c>
      <c r="AE42" s="5">
        <f>AC42-AD42</f>
        <v>0</v>
      </c>
      <c r="AF42" s="5">
        <v>4</v>
      </c>
      <c r="AG42" s="5">
        <v>0</v>
      </c>
      <c r="AH42" s="5">
        <v>4</v>
      </c>
      <c r="AI42" s="5">
        <v>4</v>
      </c>
      <c r="AJ42" s="5">
        <v>0</v>
      </c>
      <c r="AK42" s="5">
        <v>4</v>
      </c>
      <c r="AL42" s="5"/>
    </row>
    <row r="43" spans="1:38">
      <c r="A43" s="4" t="s">
        <v>112</v>
      </c>
      <c r="B43" s="4" t="s">
        <v>76</v>
      </c>
      <c r="C43" s="5" t="str">
        <f>VLOOKUP(A43,'[1]6月1号-7.5日任务完成数据'!$A:$C,3,0)</f>
        <v>业务代表</v>
      </c>
      <c r="D43" s="4" t="s">
        <v>41</v>
      </c>
      <c r="E43" s="4" t="s">
        <v>42</v>
      </c>
      <c r="F43" s="4" t="s">
        <v>43</v>
      </c>
      <c r="G43" s="4" t="s">
        <v>44</v>
      </c>
      <c r="H43" s="4">
        <v>4</v>
      </c>
      <c r="I43" s="4">
        <v>1</v>
      </c>
      <c r="J43" s="4">
        <v>3</v>
      </c>
      <c r="K43" s="4">
        <v>4</v>
      </c>
      <c r="L43" s="4">
        <v>0</v>
      </c>
      <c r="M43" s="4">
        <v>4</v>
      </c>
      <c r="N43" s="5">
        <f>S43+Z43</f>
        <v>1854.78</v>
      </c>
      <c r="O43" s="5">
        <f>T43+AA43</f>
        <v>1525</v>
      </c>
      <c r="P43" s="5">
        <f>N43-O43</f>
        <v>329.78</v>
      </c>
      <c r="Q43" s="5" t="s">
        <v>45</v>
      </c>
      <c r="R43" s="4">
        <v>199</v>
      </c>
      <c r="S43" s="4">
        <v>659</v>
      </c>
      <c r="T43" s="4">
        <v>1525</v>
      </c>
      <c r="U43" s="5">
        <f>S43-T43</f>
        <v>-866</v>
      </c>
      <c r="V43" s="5" t="s">
        <v>51</v>
      </c>
      <c r="W43" s="4">
        <v>0</v>
      </c>
      <c r="X43" s="4">
        <v>0</v>
      </c>
      <c r="Y43" s="4"/>
      <c r="Z43" s="5">
        <v>1195.78</v>
      </c>
      <c r="AA43" s="5"/>
      <c r="AB43" s="5"/>
      <c r="AC43" s="5">
        <v>958.3</v>
      </c>
      <c r="AD43" s="5">
        <v>1992.97</v>
      </c>
      <c r="AE43" s="5">
        <f>AC43-AD43</f>
        <v>-1034.67</v>
      </c>
      <c r="AF43" s="5">
        <v>30</v>
      </c>
      <c r="AG43" s="5">
        <v>37</v>
      </c>
      <c r="AH43" s="5">
        <v>-7</v>
      </c>
      <c r="AI43" s="5">
        <v>26</v>
      </c>
      <c r="AJ43" s="5">
        <v>36</v>
      </c>
      <c r="AK43" s="5">
        <v>-10</v>
      </c>
      <c r="AL43" s="4"/>
    </row>
    <row r="44" spans="1:38">
      <c r="A44" s="4" t="s">
        <v>113</v>
      </c>
      <c r="B44" s="4" t="s">
        <v>114</v>
      </c>
      <c r="C44" s="5" t="str">
        <f>VLOOKUP(A44,'[1]6月1号-7.5日任务完成数据'!$A:$C,3,0)</f>
        <v>业务代表</v>
      </c>
      <c r="D44" s="4" t="s">
        <v>56</v>
      </c>
      <c r="E44" s="4" t="s">
        <v>42</v>
      </c>
      <c r="F44" s="4" t="s">
        <v>43</v>
      </c>
      <c r="G44" s="4" t="s">
        <v>44</v>
      </c>
      <c r="H44" s="4">
        <v>5.25</v>
      </c>
      <c r="I44" s="4">
        <v>1</v>
      </c>
      <c r="J44" s="4">
        <v>2</v>
      </c>
      <c r="K44" s="4">
        <v>4</v>
      </c>
      <c r="L44" s="4">
        <v>0</v>
      </c>
      <c r="M44" s="4">
        <v>4</v>
      </c>
      <c r="N44" s="5">
        <f>S44+Z44</f>
        <v>1850.56</v>
      </c>
      <c r="O44" s="5">
        <f>T44+AA44</f>
        <v>1576.58</v>
      </c>
      <c r="P44" s="5">
        <f>N44-O44</f>
        <v>273.98</v>
      </c>
      <c r="Q44" s="5" t="s">
        <v>45</v>
      </c>
      <c r="R44" s="4">
        <v>348.1</v>
      </c>
      <c r="S44" s="4">
        <v>522.15</v>
      </c>
      <c r="T44" s="4">
        <v>0</v>
      </c>
      <c r="U44" s="5">
        <f>S44-T44</f>
        <v>522.15</v>
      </c>
      <c r="V44" s="5"/>
      <c r="W44" s="4">
        <v>0</v>
      </c>
      <c r="X44" s="4">
        <v>0</v>
      </c>
      <c r="Y44" s="4"/>
      <c r="Z44" s="5">
        <v>1328.41</v>
      </c>
      <c r="AA44" s="5">
        <v>1576.58</v>
      </c>
      <c r="AB44" s="5">
        <f>Z44-AA44</f>
        <v>-248.17</v>
      </c>
      <c r="AC44" s="5">
        <v>2230.23</v>
      </c>
      <c r="AD44" s="5">
        <v>2214.02</v>
      </c>
      <c r="AE44" s="5">
        <f>AC44-AD44</f>
        <v>16.21</v>
      </c>
      <c r="AF44" s="5">
        <v>31</v>
      </c>
      <c r="AG44" s="5">
        <v>28</v>
      </c>
      <c r="AH44" s="5">
        <v>3</v>
      </c>
      <c r="AI44" s="5">
        <v>28</v>
      </c>
      <c r="AJ44" s="5">
        <v>27</v>
      </c>
      <c r="AK44" s="5">
        <v>1</v>
      </c>
      <c r="AL44" s="4"/>
    </row>
    <row r="45" spans="1:38">
      <c r="A45" s="4" t="s">
        <v>115</v>
      </c>
      <c r="B45" s="4" t="s">
        <v>116</v>
      </c>
      <c r="C45" s="5" t="str">
        <f>VLOOKUP(A45,'[1]6月1号-7.5日任务完成数据'!$A:$C,3,0)</f>
        <v>业务代表</v>
      </c>
      <c r="D45" s="4" t="s">
        <v>41</v>
      </c>
      <c r="E45" s="4" t="s">
        <v>42</v>
      </c>
      <c r="F45" s="4" t="s">
        <v>43</v>
      </c>
      <c r="G45" s="4" t="s">
        <v>44</v>
      </c>
      <c r="H45" s="4">
        <v>6.25</v>
      </c>
      <c r="I45" s="4">
        <v>1</v>
      </c>
      <c r="J45" s="4">
        <v>0</v>
      </c>
      <c r="K45" s="4">
        <v>4</v>
      </c>
      <c r="L45" s="4">
        <v>0</v>
      </c>
      <c r="M45" s="4">
        <v>4</v>
      </c>
      <c r="N45" s="5">
        <f>S45+Z45</f>
        <v>1792.87</v>
      </c>
      <c r="O45" s="5">
        <f>T45+AA45</f>
        <v>1748.5</v>
      </c>
      <c r="P45" s="5">
        <f>N45-O45</f>
        <v>44.3700000000001</v>
      </c>
      <c r="Q45" s="5" t="s">
        <v>45</v>
      </c>
      <c r="R45" s="4">
        <v>0</v>
      </c>
      <c r="S45" s="4">
        <v>191.94</v>
      </c>
      <c r="T45" s="4">
        <v>376.89</v>
      </c>
      <c r="U45" s="5">
        <f>S45-T45</f>
        <v>-184.95</v>
      </c>
      <c r="V45" s="5" t="s">
        <v>51</v>
      </c>
      <c r="W45" s="4">
        <v>0</v>
      </c>
      <c r="X45" s="4">
        <v>0</v>
      </c>
      <c r="Y45" s="4"/>
      <c r="Z45" s="5">
        <v>1600.93</v>
      </c>
      <c r="AA45" s="5">
        <v>1371.61</v>
      </c>
      <c r="AB45" s="5">
        <f>Z45-AA45</f>
        <v>229.32</v>
      </c>
      <c r="AC45" s="5">
        <v>2719.34</v>
      </c>
      <c r="AD45" s="5">
        <v>2668.21</v>
      </c>
      <c r="AE45" s="5">
        <f>AC45-AD45</f>
        <v>51.1300000000001</v>
      </c>
      <c r="AF45" s="5">
        <v>26</v>
      </c>
      <c r="AG45" s="5">
        <v>28</v>
      </c>
      <c r="AH45" s="5">
        <v>-2</v>
      </c>
      <c r="AI45" s="5">
        <v>26</v>
      </c>
      <c r="AJ45" s="5">
        <v>27</v>
      </c>
      <c r="AK45" s="5">
        <v>-1</v>
      </c>
      <c r="AL45" s="4"/>
    </row>
    <row r="46" spans="1:38">
      <c r="A46" s="4" t="s">
        <v>117</v>
      </c>
      <c r="B46" s="4" t="s">
        <v>118</v>
      </c>
      <c r="C46" s="5" t="str">
        <f>VLOOKUP(A46,'[1]6月1号-7.5日任务完成数据'!$A:$C,3,0)</f>
        <v>业务代表</v>
      </c>
      <c r="D46" s="4" t="s">
        <v>41</v>
      </c>
      <c r="E46" s="4" t="s">
        <v>42</v>
      </c>
      <c r="F46" s="4" t="s">
        <v>43</v>
      </c>
      <c r="G46" s="4" t="s">
        <v>44</v>
      </c>
      <c r="H46" s="4">
        <v>5</v>
      </c>
      <c r="I46" s="4">
        <v>1</v>
      </c>
      <c r="J46" s="4">
        <v>0</v>
      </c>
      <c r="K46" s="4">
        <v>4</v>
      </c>
      <c r="L46" s="4">
        <v>0</v>
      </c>
      <c r="M46" s="4">
        <v>4</v>
      </c>
      <c r="N46" s="5">
        <f>S46+Z46</f>
        <v>1790.31</v>
      </c>
      <c r="O46" s="5">
        <f>T46+AA46</f>
        <v>2403.02</v>
      </c>
      <c r="P46" s="5">
        <f>N46-O46</f>
        <v>-612.71</v>
      </c>
      <c r="Q46" s="5" t="s">
        <v>51</v>
      </c>
      <c r="R46" s="4">
        <v>590.31</v>
      </c>
      <c r="S46" s="4">
        <v>590.31</v>
      </c>
      <c r="T46" s="4">
        <v>1678.84</v>
      </c>
      <c r="U46" s="5">
        <f>S46-T46</f>
        <v>-1088.53</v>
      </c>
      <c r="V46" s="5" t="s">
        <v>51</v>
      </c>
      <c r="W46" s="4">
        <v>0</v>
      </c>
      <c r="X46" s="4">
        <v>0</v>
      </c>
      <c r="Y46" s="4"/>
      <c r="Z46" s="5">
        <v>1200</v>
      </c>
      <c r="AA46" s="5">
        <v>724.18</v>
      </c>
      <c r="AB46" s="5">
        <f>Z46-AA46</f>
        <v>475.82</v>
      </c>
      <c r="AC46" s="5">
        <v>1751.3</v>
      </c>
      <c r="AD46" s="5">
        <v>1749.39</v>
      </c>
      <c r="AE46" s="5">
        <f>AC46-AD46</f>
        <v>1.90999999999985</v>
      </c>
      <c r="AF46" s="5">
        <v>27</v>
      </c>
      <c r="AG46" s="5">
        <v>27</v>
      </c>
      <c r="AH46" s="5">
        <v>0</v>
      </c>
      <c r="AI46" s="5">
        <v>26</v>
      </c>
      <c r="AJ46" s="5">
        <v>27</v>
      </c>
      <c r="AK46" s="5">
        <v>-1</v>
      </c>
      <c r="AL46" s="4"/>
    </row>
    <row r="47" spans="1:38">
      <c r="A47" s="5" t="s">
        <v>119</v>
      </c>
      <c r="B47" s="5" t="s">
        <v>120</v>
      </c>
      <c r="C47" s="5" t="s">
        <v>121</v>
      </c>
      <c r="D47" s="5" t="s">
        <v>41</v>
      </c>
      <c r="E47" s="5" t="s">
        <v>42</v>
      </c>
      <c r="F47" s="5" t="s">
        <v>43</v>
      </c>
      <c r="G47" s="5" t="s">
        <v>88</v>
      </c>
      <c r="H47" s="5"/>
      <c r="I47" s="5">
        <v>4</v>
      </c>
      <c r="J47" s="5">
        <v>0</v>
      </c>
      <c r="K47" s="5">
        <v>0</v>
      </c>
      <c r="L47" s="5">
        <v>0</v>
      </c>
      <c r="M47" s="5">
        <v>0</v>
      </c>
      <c r="N47" s="5">
        <f>S47+Z47</f>
        <v>1761.45</v>
      </c>
      <c r="O47" s="5">
        <f>T47+AA47</f>
        <v>2008.5</v>
      </c>
      <c r="P47" s="5">
        <f>N47-O47</f>
        <v>-247.05</v>
      </c>
      <c r="Q47" s="5" t="s">
        <v>51</v>
      </c>
      <c r="R47" s="5">
        <v>0</v>
      </c>
      <c r="S47" s="5">
        <v>1761.45</v>
      </c>
      <c r="T47" s="5">
        <v>2008.5</v>
      </c>
      <c r="U47" s="5">
        <f>S47-T47</f>
        <v>-247.05</v>
      </c>
      <c r="V47" s="5"/>
      <c r="W47" s="5">
        <v>0</v>
      </c>
      <c r="X47" s="5">
        <v>0</v>
      </c>
      <c r="Y47" s="5"/>
      <c r="Z47" s="5"/>
      <c r="AA47" s="5"/>
      <c r="AB47" s="5"/>
      <c r="AC47" s="5"/>
      <c r="AD47" s="5"/>
      <c r="AE47" s="5">
        <f>AC47-AD47</f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 t="s">
        <v>122</v>
      </c>
    </row>
    <row r="48" spans="1:38">
      <c r="A48" s="4" t="s">
        <v>123</v>
      </c>
      <c r="B48" s="4" t="s">
        <v>116</v>
      </c>
      <c r="C48" s="5" t="str">
        <f>VLOOKUP(A48,'[1]6月1号-7.5日任务完成数据'!$A:$C,3,0)</f>
        <v>业务代表</v>
      </c>
      <c r="D48" s="4" t="s">
        <v>41</v>
      </c>
      <c r="E48" s="4" t="s">
        <v>42</v>
      </c>
      <c r="F48" s="4" t="s">
        <v>43</v>
      </c>
      <c r="G48" s="4" t="s">
        <v>44</v>
      </c>
      <c r="H48" s="4">
        <v>6.75</v>
      </c>
      <c r="I48" s="4">
        <v>1</v>
      </c>
      <c r="J48" s="4">
        <v>2</v>
      </c>
      <c r="K48" s="4">
        <v>4</v>
      </c>
      <c r="L48" s="4">
        <v>0</v>
      </c>
      <c r="M48" s="4">
        <v>4</v>
      </c>
      <c r="N48" s="5">
        <f>S48+Z48</f>
        <v>1711.5</v>
      </c>
      <c r="O48" s="5">
        <f>T48+AA48</f>
        <v>1045.78</v>
      </c>
      <c r="P48" s="5">
        <f>N48-O48</f>
        <v>665.72</v>
      </c>
      <c r="Q48" s="5" t="s">
        <v>45</v>
      </c>
      <c r="R48" s="4">
        <v>0</v>
      </c>
      <c r="S48" s="4">
        <v>593.72</v>
      </c>
      <c r="T48" s="4">
        <v>0</v>
      </c>
      <c r="U48" s="5">
        <f>S48-T48</f>
        <v>593.72</v>
      </c>
      <c r="V48" s="5"/>
      <c r="W48" s="4">
        <v>0</v>
      </c>
      <c r="X48" s="4">
        <v>0</v>
      </c>
      <c r="Y48" s="4"/>
      <c r="Z48" s="5">
        <v>1117.78</v>
      </c>
      <c r="AA48" s="5">
        <v>1045.78</v>
      </c>
      <c r="AB48" s="5">
        <f>Z48-AA48</f>
        <v>72</v>
      </c>
      <c r="AC48" s="5">
        <v>2484.9</v>
      </c>
      <c r="AD48" s="5">
        <v>1862.96</v>
      </c>
      <c r="AE48" s="5">
        <f>AC48-AD48</f>
        <v>621.94</v>
      </c>
      <c r="AF48" s="5">
        <v>31</v>
      </c>
      <c r="AG48" s="5">
        <v>29</v>
      </c>
      <c r="AH48" s="5">
        <v>2</v>
      </c>
      <c r="AI48" s="5">
        <v>26</v>
      </c>
      <c r="AJ48" s="5">
        <v>27</v>
      </c>
      <c r="AK48" s="5">
        <v>-1</v>
      </c>
      <c r="AL48" s="4"/>
    </row>
    <row r="49" spans="1:38">
      <c r="A49" s="5" t="s">
        <v>124</v>
      </c>
      <c r="B49" s="5" t="s">
        <v>125</v>
      </c>
      <c r="C49" s="5" t="str">
        <f>VLOOKUP(A49,'[1]6月1号-7.5日任务完成数据'!$A:$C,3,0)</f>
        <v>业务代表</v>
      </c>
      <c r="D49" s="5" t="s">
        <v>56</v>
      </c>
      <c r="E49" s="5" t="s">
        <v>42</v>
      </c>
      <c r="F49" s="5" t="s">
        <v>43</v>
      </c>
      <c r="G49" s="5" t="s">
        <v>44</v>
      </c>
      <c r="H49" s="5">
        <v>3.25</v>
      </c>
      <c r="I49" s="5">
        <v>2</v>
      </c>
      <c r="J49" s="5">
        <v>3</v>
      </c>
      <c r="K49" s="5">
        <v>4</v>
      </c>
      <c r="L49" s="5">
        <v>1</v>
      </c>
      <c r="M49" s="5">
        <v>3</v>
      </c>
      <c r="N49" s="5">
        <f>S49+Z49</f>
        <v>1656</v>
      </c>
      <c r="O49" s="5">
        <f>T49+AA49</f>
        <v>0</v>
      </c>
      <c r="P49" s="5">
        <f>N49-O49</f>
        <v>1656</v>
      </c>
      <c r="Q49" s="5"/>
      <c r="R49" s="5">
        <v>986</v>
      </c>
      <c r="S49" s="5">
        <v>1656</v>
      </c>
      <c r="T49" s="5">
        <v>0</v>
      </c>
      <c r="U49" s="5">
        <f>S49-T49</f>
        <v>1656</v>
      </c>
      <c r="V49" s="5"/>
      <c r="W49" s="5">
        <v>0</v>
      </c>
      <c r="X49" s="5">
        <v>0</v>
      </c>
      <c r="Y49" s="5"/>
      <c r="Z49" s="5"/>
      <c r="AA49" s="5"/>
      <c r="AB49" s="5"/>
      <c r="AC49" s="5">
        <v>2493.5</v>
      </c>
      <c r="AD49" s="5">
        <v>0</v>
      </c>
      <c r="AE49" s="5">
        <f>AC49-AD49</f>
        <v>2493.5</v>
      </c>
      <c r="AF49" s="5">
        <v>13</v>
      </c>
      <c r="AG49" s="5">
        <v>0</v>
      </c>
      <c r="AH49" s="5">
        <v>13</v>
      </c>
      <c r="AI49" s="5">
        <v>11</v>
      </c>
      <c r="AJ49" s="5">
        <v>0</v>
      </c>
      <c r="AK49" s="5">
        <v>11</v>
      </c>
      <c r="AL49" s="5"/>
    </row>
    <row r="50" spans="1:38">
      <c r="A50" s="4" t="s">
        <v>126</v>
      </c>
      <c r="B50" s="4" t="s">
        <v>80</v>
      </c>
      <c r="C50" s="5" t="str">
        <f>VLOOKUP(A50,'[1]6月1号-7.5日任务完成数据'!$A:$C,3,0)</f>
        <v>业务代表</v>
      </c>
      <c r="D50" s="4" t="s">
        <v>68</v>
      </c>
      <c r="E50" s="4" t="s">
        <v>42</v>
      </c>
      <c r="F50" s="4" t="s">
        <v>43</v>
      </c>
      <c r="G50" s="4" t="s">
        <v>44</v>
      </c>
      <c r="H50" s="4">
        <v>6</v>
      </c>
      <c r="I50" s="4">
        <v>1</v>
      </c>
      <c r="J50" s="4">
        <v>2</v>
      </c>
      <c r="K50" s="4">
        <v>4</v>
      </c>
      <c r="L50" s="4">
        <v>0</v>
      </c>
      <c r="M50" s="4">
        <v>4</v>
      </c>
      <c r="N50" s="5">
        <f>S50+Z50</f>
        <v>1633.27</v>
      </c>
      <c r="O50" s="5">
        <f>T50+AA50</f>
        <v>1517</v>
      </c>
      <c r="P50" s="5">
        <f>N50-O50</f>
        <v>116.27</v>
      </c>
      <c r="Q50" s="5" t="s">
        <v>45</v>
      </c>
      <c r="R50" s="4">
        <v>395</v>
      </c>
      <c r="S50" s="4">
        <v>857</v>
      </c>
      <c r="T50" s="4">
        <v>0</v>
      </c>
      <c r="U50" s="5">
        <f>S50-T50</f>
        <v>857</v>
      </c>
      <c r="V50" s="5"/>
      <c r="W50" s="4">
        <v>0</v>
      </c>
      <c r="X50" s="4">
        <v>0</v>
      </c>
      <c r="Y50" s="4"/>
      <c r="Z50" s="5">
        <v>776.27</v>
      </c>
      <c r="AA50" s="5">
        <v>1517</v>
      </c>
      <c r="AB50" s="5">
        <f>Z50-AA50</f>
        <v>-740.73</v>
      </c>
      <c r="AC50" s="5">
        <v>2382.2</v>
      </c>
      <c r="AD50" s="5">
        <v>1293.79</v>
      </c>
      <c r="AE50" s="5">
        <f>AC50-AD50</f>
        <v>1088.41</v>
      </c>
      <c r="AF50" s="5">
        <v>30</v>
      </c>
      <c r="AG50" s="5">
        <v>28</v>
      </c>
      <c r="AH50" s="5">
        <v>2</v>
      </c>
      <c r="AI50" s="5">
        <v>30</v>
      </c>
      <c r="AJ50" s="5">
        <v>28</v>
      </c>
      <c r="AK50" s="5">
        <v>2</v>
      </c>
      <c r="AL50" s="4"/>
    </row>
    <row r="51" spans="1:38">
      <c r="A51" s="5" t="s">
        <v>127</v>
      </c>
      <c r="B51" s="5" t="s">
        <v>116</v>
      </c>
      <c r="C51" s="5" t="str">
        <f>VLOOKUP(A51,'[1]6月1号-7.5日任务完成数据'!$A:$C,3,0)</f>
        <v>业务代表</v>
      </c>
      <c r="D51" s="5" t="s">
        <v>41</v>
      </c>
      <c r="E51" s="5" t="s">
        <v>42</v>
      </c>
      <c r="F51" s="5" t="s">
        <v>43</v>
      </c>
      <c r="G51" s="5" t="s">
        <v>44</v>
      </c>
      <c r="H51" s="5">
        <v>5.25</v>
      </c>
      <c r="I51" s="5">
        <v>3</v>
      </c>
      <c r="J51" s="5">
        <v>0</v>
      </c>
      <c r="K51" s="5">
        <v>4</v>
      </c>
      <c r="L51" s="5">
        <v>4</v>
      </c>
      <c r="M51" s="5">
        <v>0</v>
      </c>
      <c r="N51" s="5">
        <f>S51+Z51</f>
        <v>1619.11</v>
      </c>
      <c r="O51" s="5">
        <f>T51+AA51</f>
        <v>1190</v>
      </c>
      <c r="P51" s="5">
        <f>N51-O51</f>
        <v>429.11</v>
      </c>
      <c r="Q51" s="5" t="s">
        <v>45</v>
      </c>
      <c r="R51" s="5">
        <v>0</v>
      </c>
      <c r="S51" s="5">
        <v>519.11</v>
      </c>
      <c r="T51" s="5">
        <v>0</v>
      </c>
      <c r="U51" s="5">
        <f>S51-T51</f>
        <v>519.11</v>
      </c>
      <c r="V51" s="5"/>
      <c r="W51" s="5">
        <v>0</v>
      </c>
      <c r="X51" s="5">
        <v>0</v>
      </c>
      <c r="Y51" s="5"/>
      <c r="Z51" s="5">
        <v>1100</v>
      </c>
      <c r="AA51" s="5">
        <v>1190</v>
      </c>
      <c r="AB51" s="5">
        <f>Z51-AA51</f>
        <v>-90</v>
      </c>
      <c r="AC51" s="5">
        <v>1968.57</v>
      </c>
      <c r="AD51" s="5">
        <v>1766.8</v>
      </c>
      <c r="AE51" s="5">
        <f>AC51-AD51</f>
        <v>201.77</v>
      </c>
      <c r="AF51" s="5">
        <v>29</v>
      </c>
      <c r="AG51" s="5">
        <v>28</v>
      </c>
      <c r="AH51" s="5">
        <v>1</v>
      </c>
      <c r="AI51" s="5">
        <v>27</v>
      </c>
      <c r="AJ51" s="5">
        <v>27</v>
      </c>
      <c r="AK51" s="5">
        <v>0</v>
      </c>
      <c r="AL51" s="5"/>
    </row>
    <row r="52" spans="1:38">
      <c r="A52" s="5" t="s">
        <v>128</v>
      </c>
      <c r="B52" s="5" t="s">
        <v>118</v>
      </c>
      <c r="C52" s="5" t="str">
        <f>VLOOKUP(A52,'[1]6月1号-7.5日任务完成数据'!$A:$C,3,0)</f>
        <v>业务代表</v>
      </c>
      <c r="D52" s="5" t="s">
        <v>41</v>
      </c>
      <c r="E52" s="5" t="s">
        <v>42</v>
      </c>
      <c r="F52" s="5" t="s">
        <v>43</v>
      </c>
      <c r="G52" s="5" t="s">
        <v>44</v>
      </c>
      <c r="H52" s="5">
        <v>5</v>
      </c>
      <c r="I52" s="5">
        <v>2</v>
      </c>
      <c r="J52" s="5">
        <v>1</v>
      </c>
      <c r="K52" s="5">
        <v>4</v>
      </c>
      <c r="L52" s="5">
        <v>1</v>
      </c>
      <c r="M52" s="5">
        <v>3</v>
      </c>
      <c r="N52" s="5">
        <f>S52+Z52</f>
        <v>1584.94</v>
      </c>
      <c r="O52" s="5">
        <f>T52+AA52</f>
        <v>1624.02</v>
      </c>
      <c r="P52" s="5">
        <f>N52-O52</f>
        <v>-39.0799999999999</v>
      </c>
      <c r="Q52" s="5" t="s">
        <v>51</v>
      </c>
      <c r="R52" s="5">
        <v>991.94</v>
      </c>
      <c r="S52" s="5">
        <v>805.94</v>
      </c>
      <c r="T52" s="5">
        <v>829.15</v>
      </c>
      <c r="U52" s="5">
        <f>S52-T52</f>
        <v>-23.2099999999999</v>
      </c>
      <c r="V52" s="5" t="s">
        <v>51</v>
      </c>
      <c r="W52" s="5">
        <v>0</v>
      </c>
      <c r="X52" s="5">
        <v>1</v>
      </c>
      <c r="Y52" s="5"/>
      <c r="Z52" s="5">
        <v>779</v>
      </c>
      <c r="AA52" s="5">
        <v>794.87</v>
      </c>
      <c r="AB52" s="5">
        <f>Z52-AA52</f>
        <v>-15.87</v>
      </c>
      <c r="AC52" s="5">
        <v>782.74</v>
      </c>
      <c r="AD52" s="5">
        <v>1298.51</v>
      </c>
      <c r="AE52" s="5">
        <f>AC52-AD52</f>
        <v>-515.77</v>
      </c>
      <c r="AF52" s="5">
        <v>27</v>
      </c>
      <c r="AG52" s="5">
        <v>29</v>
      </c>
      <c r="AH52" s="5">
        <v>-2</v>
      </c>
      <c r="AI52" s="5">
        <v>26</v>
      </c>
      <c r="AJ52" s="5">
        <v>28</v>
      </c>
      <c r="AK52" s="5">
        <v>-2</v>
      </c>
      <c r="AL52" s="5"/>
    </row>
    <row r="53" spans="1:38">
      <c r="A53" s="4" t="s">
        <v>129</v>
      </c>
      <c r="B53" s="4" t="s">
        <v>58</v>
      </c>
      <c r="C53" s="5" t="str">
        <f>VLOOKUP(A53,'[1]6月1号-7.5日任务完成数据'!$A:$C,3,0)</f>
        <v>业务代表</v>
      </c>
      <c r="D53" s="4" t="s">
        <v>41</v>
      </c>
      <c r="E53" s="4" t="s">
        <v>42</v>
      </c>
      <c r="F53" s="4" t="s">
        <v>43</v>
      </c>
      <c r="G53" s="4" t="s">
        <v>44</v>
      </c>
      <c r="H53" s="4">
        <v>5</v>
      </c>
      <c r="I53" s="4">
        <v>1</v>
      </c>
      <c r="J53" s="4">
        <v>0</v>
      </c>
      <c r="K53" s="4">
        <v>4</v>
      </c>
      <c r="L53" s="4">
        <v>0</v>
      </c>
      <c r="M53" s="4">
        <v>4</v>
      </c>
      <c r="N53" s="5">
        <f>S53+Z53</f>
        <v>1547.21</v>
      </c>
      <c r="O53" s="5">
        <f>T53+AA53</f>
        <v>1235.19</v>
      </c>
      <c r="P53" s="5">
        <f>N53-O53</f>
        <v>312.02</v>
      </c>
      <c r="Q53" s="5" t="s">
        <v>45</v>
      </c>
      <c r="R53" s="4">
        <v>764</v>
      </c>
      <c r="S53" s="4">
        <v>764</v>
      </c>
      <c r="T53" s="4">
        <v>595</v>
      </c>
      <c r="U53" s="5">
        <f>S53-T53</f>
        <v>169</v>
      </c>
      <c r="V53" s="5" t="s">
        <v>45</v>
      </c>
      <c r="W53" s="4">
        <v>0</v>
      </c>
      <c r="X53" s="4">
        <v>0</v>
      </c>
      <c r="Y53" s="4"/>
      <c r="Z53" s="5">
        <v>783.21</v>
      </c>
      <c r="AA53" s="5">
        <v>640.19</v>
      </c>
      <c r="AB53" s="5">
        <f>Z53-AA53</f>
        <v>143.02</v>
      </c>
      <c r="AC53" s="5">
        <v>1638.39</v>
      </c>
      <c r="AD53" s="5">
        <v>1314.5</v>
      </c>
      <c r="AE53" s="5">
        <f>AC53-AD53</f>
        <v>323.89</v>
      </c>
      <c r="AF53" s="5">
        <v>43</v>
      </c>
      <c r="AG53" s="5">
        <v>37</v>
      </c>
      <c r="AH53" s="5">
        <v>6</v>
      </c>
      <c r="AI53" s="5">
        <v>33</v>
      </c>
      <c r="AJ53" s="5">
        <v>32</v>
      </c>
      <c r="AK53" s="5">
        <v>1</v>
      </c>
      <c r="AL53" s="4"/>
    </row>
    <row r="54" spans="1:38">
      <c r="A54" s="4" t="s">
        <v>130</v>
      </c>
      <c r="B54" s="4" t="s">
        <v>94</v>
      </c>
      <c r="C54" s="5" t="str">
        <f>VLOOKUP(A54,'[1]6月1号-7.5日任务完成数据'!$A:$C,3,0)</f>
        <v>业务代表</v>
      </c>
      <c r="D54" s="4" t="s">
        <v>41</v>
      </c>
      <c r="E54" s="4" t="s">
        <v>42</v>
      </c>
      <c r="F54" s="4" t="s">
        <v>43</v>
      </c>
      <c r="G54" s="4" t="s">
        <v>44</v>
      </c>
      <c r="H54" s="4">
        <v>5</v>
      </c>
      <c r="I54" s="4">
        <v>1</v>
      </c>
      <c r="J54" s="4">
        <v>1</v>
      </c>
      <c r="K54" s="4">
        <v>4</v>
      </c>
      <c r="L54" s="4">
        <v>0</v>
      </c>
      <c r="M54" s="4">
        <v>4</v>
      </c>
      <c r="N54" s="5">
        <f>S54+Z54</f>
        <v>1520</v>
      </c>
      <c r="O54" s="5">
        <f>T54+AA54</f>
        <v>1737.4</v>
      </c>
      <c r="P54" s="5">
        <f>N54-O54</f>
        <v>-217.4</v>
      </c>
      <c r="Q54" s="5" t="s">
        <v>51</v>
      </c>
      <c r="R54" s="4">
        <v>552</v>
      </c>
      <c r="S54" s="4">
        <v>920</v>
      </c>
      <c r="T54" s="4">
        <v>918</v>
      </c>
      <c r="U54" s="5">
        <f>S54-T54</f>
        <v>2</v>
      </c>
      <c r="V54" s="5" t="s">
        <v>45</v>
      </c>
      <c r="W54" s="4">
        <v>0</v>
      </c>
      <c r="X54" s="4">
        <v>0</v>
      </c>
      <c r="Y54" s="4"/>
      <c r="Z54" s="5">
        <v>600</v>
      </c>
      <c r="AA54" s="5">
        <v>819.4</v>
      </c>
      <c r="AB54" s="5">
        <f>Z54-AA54</f>
        <v>-219.4</v>
      </c>
      <c r="AC54" s="5">
        <v>1191.36</v>
      </c>
      <c r="AD54" s="5">
        <v>1000.02</v>
      </c>
      <c r="AE54" s="5">
        <f>AC54-AD54</f>
        <v>191.34</v>
      </c>
      <c r="AF54" s="5">
        <v>32</v>
      </c>
      <c r="AG54" s="5">
        <v>27</v>
      </c>
      <c r="AH54" s="5">
        <v>5</v>
      </c>
      <c r="AI54" s="5">
        <v>28</v>
      </c>
      <c r="AJ54" s="5">
        <v>26</v>
      </c>
      <c r="AK54" s="5">
        <v>2</v>
      </c>
      <c r="AL54" s="4"/>
    </row>
    <row r="55" spans="1:38">
      <c r="A55" s="4" t="s">
        <v>131</v>
      </c>
      <c r="B55" s="4" t="s">
        <v>118</v>
      </c>
      <c r="C55" s="5" t="str">
        <f>VLOOKUP(A55,'[1]6月1号-7.5日任务完成数据'!$A:$C,3,0)</f>
        <v>业务代表</v>
      </c>
      <c r="D55" s="4" t="s">
        <v>41</v>
      </c>
      <c r="E55" s="4" t="s">
        <v>42</v>
      </c>
      <c r="F55" s="4" t="s">
        <v>43</v>
      </c>
      <c r="G55" s="4" t="s">
        <v>44</v>
      </c>
      <c r="H55" s="4">
        <v>4.75</v>
      </c>
      <c r="I55" s="4">
        <v>0</v>
      </c>
      <c r="J55" s="4">
        <v>1</v>
      </c>
      <c r="K55" s="4">
        <v>4</v>
      </c>
      <c r="L55" s="4">
        <v>0</v>
      </c>
      <c r="M55" s="4">
        <v>4</v>
      </c>
      <c r="N55" s="5">
        <f>S55+Z55</f>
        <v>1504.13</v>
      </c>
      <c r="O55" s="5">
        <f>T55+AA55</f>
        <v>0</v>
      </c>
      <c r="P55" s="5">
        <f>N55-O55</f>
        <v>1504.13</v>
      </c>
      <c r="Q55" s="5"/>
      <c r="R55" s="4">
        <v>0</v>
      </c>
      <c r="S55" s="4">
        <v>0</v>
      </c>
      <c r="T55" s="4">
        <v>0</v>
      </c>
      <c r="U55" s="5">
        <f>S55-T55</f>
        <v>0</v>
      </c>
      <c r="V55" s="5"/>
      <c r="W55" s="4">
        <v>0</v>
      </c>
      <c r="X55" s="4">
        <v>0</v>
      </c>
      <c r="Y55" s="4"/>
      <c r="Z55" s="5">
        <v>1504.13</v>
      </c>
      <c r="AA55" s="5"/>
      <c r="AB55" s="5"/>
      <c r="AC55" s="5">
        <v>805.05</v>
      </c>
      <c r="AD55" s="5">
        <v>734.15</v>
      </c>
      <c r="AE55" s="5">
        <f>AC55-AD55</f>
        <v>70.9</v>
      </c>
      <c r="AF55" s="5">
        <v>29</v>
      </c>
      <c r="AG55" s="5">
        <v>30</v>
      </c>
      <c r="AH55" s="5">
        <v>-1</v>
      </c>
      <c r="AI55" s="5">
        <v>28</v>
      </c>
      <c r="AJ55" s="5">
        <v>26</v>
      </c>
      <c r="AK55" s="5">
        <v>2</v>
      </c>
      <c r="AL55" s="4"/>
    </row>
    <row r="56" spans="1:38">
      <c r="A56" s="4" t="s">
        <v>132</v>
      </c>
      <c r="B56" s="4" t="s">
        <v>94</v>
      </c>
      <c r="C56" s="5" t="str">
        <f>VLOOKUP(A56,'[1]6月1号-7.5日任务完成数据'!$A:$C,3,0)</f>
        <v>业务代表</v>
      </c>
      <c r="D56" s="4" t="s">
        <v>41</v>
      </c>
      <c r="E56" s="4" t="s">
        <v>42</v>
      </c>
      <c r="F56" s="4" t="s">
        <v>43</v>
      </c>
      <c r="G56" s="4" t="s">
        <v>44</v>
      </c>
      <c r="H56" s="4">
        <v>4</v>
      </c>
      <c r="I56" s="4">
        <v>2</v>
      </c>
      <c r="J56" s="4">
        <v>0</v>
      </c>
      <c r="K56" s="4">
        <v>3</v>
      </c>
      <c r="L56" s="4">
        <v>0</v>
      </c>
      <c r="M56" s="4">
        <v>3</v>
      </c>
      <c r="N56" s="5">
        <f>S56+Z56</f>
        <v>1500.33</v>
      </c>
      <c r="O56" s="5">
        <f>T56+AA56</f>
        <v>2293.19</v>
      </c>
      <c r="P56" s="5">
        <f>N56-O56</f>
        <v>-792.86</v>
      </c>
      <c r="Q56" s="5" t="s">
        <v>51</v>
      </c>
      <c r="R56" s="4">
        <v>483</v>
      </c>
      <c r="S56" s="4">
        <v>483</v>
      </c>
      <c r="T56" s="4">
        <v>1262.65</v>
      </c>
      <c r="U56" s="5">
        <f>S56-T56</f>
        <v>-779.65</v>
      </c>
      <c r="V56" s="5" t="s">
        <v>51</v>
      </c>
      <c r="W56" s="4">
        <v>0</v>
      </c>
      <c r="X56" s="4">
        <v>0</v>
      </c>
      <c r="Y56" s="4"/>
      <c r="Z56" s="5">
        <v>1017.33</v>
      </c>
      <c r="AA56" s="5">
        <v>1030.54</v>
      </c>
      <c r="AB56" s="5">
        <f>Z56-AA56</f>
        <v>-13.2099999999999</v>
      </c>
      <c r="AC56" s="5">
        <v>1476.6</v>
      </c>
      <c r="AD56" s="5">
        <v>1695.55</v>
      </c>
      <c r="AE56" s="5">
        <f>AC56-AD56</f>
        <v>-218.95</v>
      </c>
      <c r="AF56" s="5">
        <v>26</v>
      </c>
      <c r="AG56" s="5">
        <v>28</v>
      </c>
      <c r="AH56" s="5">
        <v>-2</v>
      </c>
      <c r="AI56" s="5">
        <v>26</v>
      </c>
      <c r="AJ56" s="5">
        <v>26</v>
      </c>
      <c r="AK56" s="5">
        <v>0</v>
      </c>
      <c r="AL56" s="4"/>
    </row>
    <row r="57" spans="1:38">
      <c r="A57" s="4" t="s">
        <v>133</v>
      </c>
      <c r="B57" s="4" t="s">
        <v>40</v>
      </c>
      <c r="C57" s="5" t="str">
        <f>VLOOKUP(A57,'[1]6月1号-7.5日任务完成数据'!$A:$C,3,0)</f>
        <v>区域经理</v>
      </c>
      <c r="D57" s="4" t="s">
        <v>41</v>
      </c>
      <c r="E57" s="4" t="s">
        <v>42</v>
      </c>
      <c r="F57" s="4" t="s">
        <v>43</v>
      </c>
      <c r="G57" s="4" t="s">
        <v>44</v>
      </c>
      <c r="H57" s="4">
        <v>2.33</v>
      </c>
      <c r="I57" s="4">
        <v>4</v>
      </c>
      <c r="J57" s="4">
        <v>1</v>
      </c>
      <c r="K57" s="4">
        <v>3</v>
      </c>
      <c r="L57" s="4">
        <v>0</v>
      </c>
      <c r="M57" s="4">
        <v>3</v>
      </c>
      <c r="N57" s="5">
        <f>S57+Z57</f>
        <v>1493.95</v>
      </c>
      <c r="O57" s="5">
        <f>T57+AA57</f>
        <v>1232</v>
      </c>
      <c r="P57" s="5">
        <f>N57-O57</f>
        <v>261.95</v>
      </c>
      <c r="Q57" s="5" t="s">
        <v>45</v>
      </c>
      <c r="R57" s="4">
        <v>1305.95</v>
      </c>
      <c r="S57" s="4">
        <v>1493.95</v>
      </c>
      <c r="T57" s="4">
        <v>1232</v>
      </c>
      <c r="U57" s="5">
        <f>S57-T57</f>
        <v>261.95</v>
      </c>
      <c r="V57" s="5" t="s">
        <v>45</v>
      </c>
      <c r="W57" s="4">
        <v>0</v>
      </c>
      <c r="X57" s="4">
        <v>0</v>
      </c>
      <c r="Y57" s="4"/>
      <c r="Z57" s="5"/>
      <c r="AA57" s="5"/>
      <c r="AB57" s="5"/>
      <c r="AC57" s="5">
        <v>0</v>
      </c>
      <c r="AD57" s="5">
        <v>0</v>
      </c>
      <c r="AE57" s="5">
        <f>AC57-AD57</f>
        <v>0</v>
      </c>
      <c r="AF57" s="5">
        <v>14</v>
      </c>
      <c r="AG57" s="5">
        <v>12</v>
      </c>
      <c r="AH57" s="5">
        <v>2</v>
      </c>
      <c r="AI57" s="5">
        <v>14</v>
      </c>
      <c r="AJ57" s="5">
        <v>12</v>
      </c>
      <c r="AK57" s="5">
        <v>2</v>
      </c>
      <c r="AL57" s="4"/>
    </row>
    <row r="58" spans="1:38">
      <c r="A58" s="4" t="s">
        <v>134</v>
      </c>
      <c r="B58" s="4" t="s">
        <v>53</v>
      </c>
      <c r="C58" s="5" t="str">
        <f>VLOOKUP(A58,'[1]6月1号-7.5日任务完成数据'!$A:$C,3,0)</f>
        <v>业务代表</v>
      </c>
      <c r="D58" s="4" t="s">
        <v>48</v>
      </c>
      <c r="E58" s="4" t="s">
        <v>42</v>
      </c>
      <c r="F58" s="4" t="s">
        <v>43</v>
      </c>
      <c r="G58" s="4" t="s">
        <v>44</v>
      </c>
      <c r="H58" s="4">
        <v>5.25</v>
      </c>
      <c r="I58" s="4">
        <v>7</v>
      </c>
      <c r="J58" s="4">
        <v>1</v>
      </c>
      <c r="K58" s="4">
        <v>4</v>
      </c>
      <c r="L58" s="4">
        <v>0</v>
      </c>
      <c r="M58" s="4">
        <v>4</v>
      </c>
      <c r="N58" s="5">
        <f>S58+Z58</f>
        <v>1484.54</v>
      </c>
      <c r="O58" s="5">
        <f>T58+AA58</f>
        <v>2965.68</v>
      </c>
      <c r="P58" s="5">
        <f>N58-O58</f>
        <v>-1481.14</v>
      </c>
      <c r="Q58" s="5" t="s">
        <v>51</v>
      </c>
      <c r="R58" s="4">
        <v>616</v>
      </c>
      <c r="S58" s="4">
        <v>616</v>
      </c>
      <c r="T58" s="4">
        <v>706</v>
      </c>
      <c r="U58" s="5">
        <f>S58-T58</f>
        <v>-90</v>
      </c>
      <c r="V58" s="5" t="s">
        <v>51</v>
      </c>
      <c r="W58" s="4">
        <v>0</v>
      </c>
      <c r="X58" s="4">
        <v>0</v>
      </c>
      <c r="Y58" s="4"/>
      <c r="Z58" s="5">
        <v>868.54</v>
      </c>
      <c r="AA58" s="5">
        <v>2259.68</v>
      </c>
      <c r="AB58" s="5">
        <f>Z58-AA58</f>
        <v>-1391.14</v>
      </c>
      <c r="AC58" s="5">
        <v>2447.19</v>
      </c>
      <c r="AD58" s="5">
        <v>1447.57</v>
      </c>
      <c r="AE58" s="5">
        <f>AC58-AD58</f>
        <v>999.62</v>
      </c>
      <c r="AF58" s="5">
        <v>26</v>
      </c>
      <c r="AG58" s="5">
        <v>32</v>
      </c>
      <c r="AH58" s="5">
        <v>-6</v>
      </c>
      <c r="AI58" s="5">
        <v>26</v>
      </c>
      <c r="AJ58" s="5">
        <v>32</v>
      </c>
      <c r="AK58" s="5">
        <v>-6</v>
      </c>
      <c r="AL58" s="4"/>
    </row>
    <row r="59" spans="1:38">
      <c r="A59" s="4" t="s">
        <v>135</v>
      </c>
      <c r="B59" s="4" t="s">
        <v>116</v>
      </c>
      <c r="C59" s="5" t="str">
        <f>VLOOKUP(A59,'[1]6月1号-7.5日任务完成数据'!$A:$C,3,0)</f>
        <v>业务代表</v>
      </c>
      <c r="D59" s="4" t="s">
        <v>41</v>
      </c>
      <c r="E59" s="4" t="s">
        <v>42</v>
      </c>
      <c r="F59" s="4" t="s">
        <v>43</v>
      </c>
      <c r="G59" s="4" t="s">
        <v>44</v>
      </c>
      <c r="H59" s="4">
        <v>5</v>
      </c>
      <c r="I59" s="4">
        <v>1</v>
      </c>
      <c r="J59" s="4">
        <v>0</v>
      </c>
      <c r="K59" s="4">
        <v>4</v>
      </c>
      <c r="L59" s="4">
        <v>0</v>
      </c>
      <c r="M59" s="4">
        <v>4</v>
      </c>
      <c r="N59" s="5">
        <f>S59+Z59</f>
        <v>1455</v>
      </c>
      <c r="O59" s="5">
        <f>T59+AA59</f>
        <v>1070</v>
      </c>
      <c r="P59" s="5">
        <f>N59-O59</f>
        <v>385</v>
      </c>
      <c r="Q59" s="5" t="s">
        <v>45</v>
      </c>
      <c r="R59" s="4">
        <v>0</v>
      </c>
      <c r="S59" s="4">
        <v>161</v>
      </c>
      <c r="T59" s="4">
        <v>0</v>
      </c>
      <c r="U59" s="5">
        <f>S59-T59</f>
        <v>161</v>
      </c>
      <c r="V59" s="5"/>
      <c r="W59" s="4">
        <v>0</v>
      </c>
      <c r="X59" s="4">
        <v>0</v>
      </c>
      <c r="Y59" s="4"/>
      <c r="Z59" s="5">
        <v>1294</v>
      </c>
      <c r="AA59" s="5">
        <v>1070</v>
      </c>
      <c r="AB59" s="5">
        <f>Z59-AA59</f>
        <v>224</v>
      </c>
      <c r="AC59" s="5">
        <v>2657.39</v>
      </c>
      <c r="AD59" s="5">
        <v>2156.95</v>
      </c>
      <c r="AE59" s="5">
        <f>AC59-AD59</f>
        <v>500.44</v>
      </c>
      <c r="AF59" s="5">
        <v>27</v>
      </c>
      <c r="AG59" s="5">
        <v>27</v>
      </c>
      <c r="AH59" s="5">
        <v>0</v>
      </c>
      <c r="AI59" s="5">
        <v>27</v>
      </c>
      <c r="AJ59" s="5">
        <v>27</v>
      </c>
      <c r="AK59" s="5">
        <v>0</v>
      </c>
      <c r="AL59" s="4"/>
    </row>
    <row r="60" spans="1:38">
      <c r="A60" s="4" t="s">
        <v>136</v>
      </c>
      <c r="B60" s="4" t="s">
        <v>118</v>
      </c>
      <c r="C60" s="5" t="str">
        <f>VLOOKUP(A60,'[1]6月1号-7.5日任务完成数据'!$A:$C,3,0)</f>
        <v>业务代表</v>
      </c>
      <c r="D60" s="4" t="s">
        <v>41</v>
      </c>
      <c r="E60" s="4" t="s">
        <v>42</v>
      </c>
      <c r="F60" s="4" t="s">
        <v>43</v>
      </c>
      <c r="G60" s="4" t="s">
        <v>44</v>
      </c>
      <c r="H60" s="4">
        <v>5.25</v>
      </c>
      <c r="I60" s="4">
        <v>2</v>
      </c>
      <c r="J60" s="4">
        <v>1</v>
      </c>
      <c r="K60" s="4">
        <v>4</v>
      </c>
      <c r="L60" s="4">
        <v>0</v>
      </c>
      <c r="M60" s="4">
        <v>4</v>
      </c>
      <c r="N60" s="5">
        <f>S60+Z60</f>
        <v>1432.47</v>
      </c>
      <c r="O60" s="5">
        <f>T60+AA60</f>
        <v>1818.52</v>
      </c>
      <c r="P60" s="5">
        <f>N60-O60</f>
        <v>-386.05</v>
      </c>
      <c r="Q60" s="5" t="s">
        <v>51</v>
      </c>
      <c r="R60" s="4">
        <v>749.15</v>
      </c>
      <c r="S60" s="4">
        <v>749.15</v>
      </c>
      <c r="T60" s="4">
        <v>1162.36</v>
      </c>
      <c r="U60" s="5">
        <f>S60-T60</f>
        <v>-413.21</v>
      </c>
      <c r="V60" s="5" t="s">
        <v>51</v>
      </c>
      <c r="W60" s="4">
        <v>0</v>
      </c>
      <c r="X60" s="4">
        <v>0</v>
      </c>
      <c r="Y60" s="4"/>
      <c r="Z60" s="5">
        <v>683.32</v>
      </c>
      <c r="AA60" s="5">
        <v>656.16</v>
      </c>
      <c r="AB60" s="5">
        <f>Z60-AA60</f>
        <v>27.1600000000001</v>
      </c>
      <c r="AC60" s="5">
        <v>1669.71</v>
      </c>
      <c r="AD60" s="5">
        <v>1143.87</v>
      </c>
      <c r="AE60" s="5">
        <f>AC60-AD60</f>
        <v>525.84</v>
      </c>
      <c r="AF60" s="5">
        <v>29</v>
      </c>
      <c r="AG60" s="5">
        <v>27</v>
      </c>
      <c r="AH60" s="5">
        <v>2</v>
      </c>
      <c r="AI60" s="5">
        <v>27</v>
      </c>
      <c r="AJ60" s="5">
        <v>27</v>
      </c>
      <c r="AK60" s="5">
        <v>0</v>
      </c>
      <c r="AL60" s="4"/>
    </row>
    <row r="61" spans="1:38">
      <c r="A61" s="4" t="s">
        <v>137</v>
      </c>
      <c r="B61" s="4" t="s">
        <v>118</v>
      </c>
      <c r="C61" s="5" t="str">
        <f>VLOOKUP(A61,'[1]6月1号-7.5日任务完成数据'!$A:$C,3,0)</f>
        <v>区域经理</v>
      </c>
      <c r="D61" s="4" t="s">
        <v>41</v>
      </c>
      <c r="E61" s="4" t="s">
        <v>42</v>
      </c>
      <c r="F61" s="4" t="s">
        <v>43</v>
      </c>
      <c r="G61" s="4" t="s">
        <v>44</v>
      </c>
      <c r="H61" s="4">
        <v>2.33</v>
      </c>
      <c r="I61" s="4">
        <v>2</v>
      </c>
      <c r="J61" s="4">
        <v>2</v>
      </c>
      <c r="K61" s="4">
        <v>3</v>
      </c>
      <c r="L61" s="4">
        <v>0</v>
      </c>
      <c r="M61" s="4">
        <v>3</v>
      </c>
      <c r="N61" s="5">
        <f>S61+Z61</f>
        <v>1410.35</v>
      </c>
      <c r="O61" s="5">
        <f>T61+AA61</f>
        <v>808.49</v>
      </c>
      <c r="P61" s="5">
        <f>N61-O61</f>
        <v>601.86</v>
      </c>
      <c r="Q61" s="5" t="s">
        <v>45</v>
      </c>
      <c r="R61" s="4">
        <v>639</v>
      </c>
      <c r="S61" s="4">
        <v>1060</v>
      </c>
      <c r="T61" s="4">
        <v>706.7</v>
      </c>
      <c r="U61" s="5">
        <f>S61-T61</f>
        <v>353.3</v>
      </c>
      <c r="V61" s="5" t="s">
        <v>45</v>
      </c>
      <c r="W61" s="4">
        <v>0</v>
      </c>
      <c r="X61" s="4">
        <v>0</v>
      </c>
      <c r="Y61" s="4"/>
      <c r="Z61" s="5">
        <v>350.35</v>
      </c>
      <c r="AA61" s="5">
        <v>101.79</v>
      </c>
      <c r="AB61" s="5">
        <f>Z61-AA61</f>
        <v>248.56</v>
      </c>
      <c r="AC61" s="5">
        <v>496.44</v>
      </c>
      <c r="AD61" s="5">
        <v>742.27</v>
      </c>
      <c r="AE61" s="5">
        <f>AC61-AD61</f>
        <v>-245.83</v>
      </c>
      <c r="AF61" s="5">
        <v>6</v>
      </c>
      <c r="AG61" s="5">
        <v>9</v>
      </c>
      <c r="AH61" s="5">
        <v>-3</v>
      </c>
      <c r="AI61" s="5">
        <v>6</v>
      </c>
      <c r="AJ61" s="5">
        <v>7</v>
      </c>
      <c r="AK61" s="5">
        <v>-1</v>
      </c>
      <c r="AL61" s="4"/>
    </row>
    <row r="62" spans="1:38">
      <c r="A62" s="5" t="s">
        <v>138</v>
      </c>
      <c r="B62" s="5" t="s">
        <v>118</v>
      </c>
      <c r="C62" s="5" t="str">
        <f>VLOOKUP(A62,'[1]6月1号-7.5日任务完成数据'!$A:$C,3,0)</f>
        <v>业务代表</v>
      </c>
      <c r="D62" s="5" t="s">
        <v>41</v>
      </c>
      <c r="E62" s="5" t="s">
        <v>42</v>
      </c>
      <c r="F62" s="5" t="s">
        <v>43</v>
      </c>
      <c r="G62" s="5" t="s">
        <v>44</v>
      </c>
      <c r="H62" s="5">
        <v>6.25</v>
      </c>
      <c r="I62" s="5">
        <v>1</v>
      </c>
      <c r="J62" s="5">
        <v>0</v>
      </c>
      <c r="K62" s="5">
        <v>4</v>
      </c>
      <c r="L62" s="5">
        <v>1</v>
      </c>
      <c r="M62" s="5">
        <v>3</v>
      </c>
      <c r="N62" s="5">
        <f>S62+Z62</f>
        <v>1407.1</v>
      </c>
      <c r="O62" s="5">
        <f>T62+AA62</f>
        <v>2119.94</v>
      </c>
      <c r="P62" s="5">
        <f>N62-O62</f>
        <v>-712.84</v>
      </c>
      <c r="Q62" s="5" t="s">
        <v>51</v>
      </c>
      <c r="R62" s="5">
        <v>390</v>
      </c>
      <c r="S62" s="5">
        <v>390</v>
      </c>
      <c r="T62" s="5">
        <v>1434.94</v>
      </c>
      <c r="U62" s="5">
        <f>S62-T62</f>
        <v>-1044.94</v>
      </c>
      <c r="V62" s="5" t="s">
        <v>51</v>
      </c>
      <c r="W62" s="5">
        <v>0</v>
      </c>
      <c r="X62" s="5">
        <v>1</v>
      </c>
      <c r="Y62" s="5"/>
      <c r="Z62" s="5">
        <v>1017.1</v>
      </c>
      <c r="AA62" s="5">
        <v>685</v>
      </c>
      <c r="AB62" s="5">
        <f>Z62-AA62</f>
        <v>332.1</v>
      </c>
      <c r="AC62" s="5">
        <v>1966.86</v>
      </c>
      <c r="AD62" s="5">
        <v>1695.59</v>
      </c>
      <c r="AE62" s="5">
        <f>AC62-AD62</f>
        <v>271.27</v>
      </c>
      <c r="AF62" s="5">
        <v>35</v>
      </c>
      <c r="AG62" s="5">
        <v>32</v>
      </c>
      <c r="AH62" s="5">
        <v>3</v>
      </c>
      <c r="AI62" s="5">
        <v>29</v>
      </c>
      <c r="AJ62" s="5">
        <v>24</v>
      </c>
      <c r="AK62" s="5">
        <v>5</v>
      </c>
      <c r="AL62" s="5"/>
    </row>
    <row r="63" spans="1:38">
      <c r="A63" s="5" t="s">
        <v>139</v>
      </c>
      <c r="B63" s="5" t="s">
        <v>116</v>
      </c>
      <c r="C63" s="5" t="str">
        <f>VLOOKUP(A63,'[1]6月1号-7.5日任务完成数据'!$A:$C,3,0)</f>
        <v>业务代表</v>
      </c>
      <c r="D63" s="5" t="s">
        <v>41</v>
      </c>
      <c r="E63" s="5" t="s">
        <v>140</v>
      </c>
      <c r="F63" s="5" t="s">
        <v>43</v>
      </c>
      <c r="G63" s="5" t="s">
        <v>44</v>
      </c>
      <c r="H63" s="5">
        <v>1.75</v>
      </c>
      <c r="I63" s="5">
        <v>4</v>
      </c>
      <c r="J63" s="5">
        <v>0</v>
      </c>
      <c r="K63" s="5">
        <v>4</v>
      </c>
      <c r="L63" s="5">
        <v>3</v>
      </c>
      <c r="M63" s="5">
        <v>1</v>
      </c>
      <c r="N63" s="5">
        <f>S63+Z63</f>
        <v>1399</v>
      </c>
      <c r="O63" s="5">
        <f>T63+AA63</f>
        <v>0</v>
      </c>
      <c r="P63" s="5">
        <f>N63-O63</f>
        <v>1399</v>
      </c>
      <c r="Q63" s="5"/>
      <c r="R63" s="5">
        <v>0</v>
      </c>
      <c r="S63" s="5">
        <v>1399</v>
      </c>
      <c r="T63" s="5">
        <v>0</v>
      </c>
      <c r="U63" s="5">
        <f>S63-T63</f>
        <v>1399</v>
      </c>
      <c r="V63" s="5"/>
      <c r="W63" s="5">
        <v>0</v>
      </c>
      <c r="X63" s="5">
        <v>0</v>
      </c>
      <c r="Y63" s="5"/>
      <c r="Z63" s="5"/>
      <c r="AA63" s="5"/>
      <c r="AB63" s="5"/>
      <c r="AC63" s="5">
        <v>1512.82</v>
      </c>
      <c r="AD63" s="5"/>
      <c r="AE63" s="5">
        <f>AC63-AD63</f>
        <v>1512.82</v>
      </c>
      <c r="AF63" s="5">
        <v>11</v>
      </c>
      <c r="AG63" s="5">
        <v>0</v>
      </c>
      <c r="AH63" s="5">
        <v>11</v>
      </c>
      <c r="AI63" s="5">
        <v>11</v>
      </c>
      <c r="AJ63" s="5">
        <v>0</v>
      </c>
      <c r="AK63" s="5">
        <v>11</v>
      </c>
      <c r="AL63" s="5"/>
    </row>
    <row r="64" spans="1:38">
      <c r="A64" s="5" t="s">
        <v>141</v>
      </c>
      <c r="B64" s="5" t="s">
        <v>40</v>
      </c>
      <c r="C64" s="5" t="str">
        <f>VLOOKUP(A64,'[1]6月1号-7.5日任务完成数据'!$A:$C,3,0)</f>
        <v>业务代表</v>
      </c>
      <c r="D64" s="5" t="s">
        <v>41</v>
      </c>
      <c r="E64" s="5" t="s">
        <v>42</v>
      </c>
      <c r="F64" s="5" t="s">
        <v>43</v>
      </c>
      <c r="G64" s="5" t="s">
        <v>44</v>
      </c>
      <c r="H64" s="5">
        <v>5</v>
      </c>
      <c r="I64" s="5">
        <v>1</v>
      </c>
      <c r="J64" s="5">
        <v>0</v>
      </c>
      <c r="K64" s="5">
        <v>4</v>
      </c>
      <c r="L64" s="5">
        <v>1</v>
      </c>
      <c r="M64" s="5">
        <v>3</v>
      </c>
      <c r="N64" s="5">
        <f>S64+Z64</f>
        <v>1355</v>
      </c>
      <c r="O64" s="5">
        <f>T64+AA64</f>
        <v>3358.19</v>
      </c>
      <c r="P64" s="5">
        <f>N64-O64</f>
        <v>-2003.19</v>
      </c>
      <c r="Q64" s="5" t="s">
        <v>51</v>
      </c>
      <c r="R64" s="5">
        <v>1905.89</v>
      </c>
      <c r="S64" s="5">
        <v>1355</v>
      </c>
      <c r="T64" s="5">
        <v>718.83</v>
      </c>
      <c r="U64" s="5">
        <f>S64-T64</f>
        <v>636.17</v>
      </c>
      <c r="V64" s="5" t="s">
        <v>45</v>
      </c>
      <c r="W64" s="5">
        <v>522</v>
      </c>
      <c r="X64" s="5">
        <v>0</v>
      </c>
      <c r="Y64" s="5"/>
      <c r="Z64" s="5"/>
      <c r="AA64" s="5">
        <v>2639.36</v>
      </c>
      <c r="AB64" s="5"/>
      <c r="AC64" s="5">
        <v>2357.01</v>
      </c>
      <c r="AD64" s="5">
        <v>1895.08</v>
      </c>
      <c r="AE64" s="5">
        <f>AC64-AD64</f>
        <v>461.93</v>
      </c>
      <c r="AF64" s="5">
        <v>35</v>
      </c>
      <c r="AG64" s="5">
        <v>37</v>
      </c>
      <c r="AH64" s="5">
        <v>-2</v>
      </c>
      <c r="AI64" s="5">
        <v>27</v>
      </c>
      <c r="AJ64" s="5">
        <v>26</v>
      </c>
      <c r="AK64" s="5">
        <v>1</v>
      </c>
      <c r="AL64" s="5"/>
    </row>
    <row r="65" spans="1:38">
      <c r="A65" s="5" t="s">
        <v>142</v>
      </c>
      <c r="B65" s="5" t="s">
        <v>116</v>
      </c>
      <c r="C65" s="5" t="str">
        <f>VLOOKUP(A65,'[1]6月1号-7.5日任务完成数据'!$A:$C,3,0)</f>
        <v>业务代表</v>
      </c>
      <c r="D65" s="5" t="s">
        <v>41</v>
      </c>
      <c r="E65" s="5" t="s">
        <v>42</v>
      </c>
      <c r="F65" s="5" t="s">
        <v>43</v>
      </c>
      <c r="G65" s="5" t="s">
        <v>44</v>
      </c>
      <c r="H65" s="5">
        <v>5.25</v>
      </c>
      <c r="I65" s="5">
        <v>0</v>
      </c>
      <c r="J65" s="5">
        <v>0</v>
      </c>
      <c r="K65" s="5">
        <v>4</v>
      </c>
      <c r="L65" s="5">
        <v>3</v>
      </c>
      <c r="M65" s="5">
        <v>1</v>
      </c>
      <c r="N65" s="5">
        <f>S65+Z65</f>
        <v>1328.96</v>
      </c>
      <c r="O65" s="5">
        <f>T65+AA65</f>
        <v>87.55</v>
      </c>
      <c r="P65" s="5">
        <f>N65-O65</f>
        <v>1241.41</v>
      </c>
      <c r="Q65" s="5" t="s">
        <v>45</v>
      </c>
      <c r="R65" s="5">
        <v>0</v>
      </c>
      <c r="S65" s="5">
        <v>0</v>
      </c>
      <c r="T65" s="5">
        <v>0</v>
      </c>
      <c r="U65" s="5">
        <f>S65-T65</f>
        <v>0</v>
      </c>
      <c r="V65" s="5"/>
      <c r="W65" s="5">
        <v>0</v>
      </c>
      <c r="X65" s="5">
        <v>0</v>
      </c>
      <c r="Y65" s="5"/>
      <c r="Z65" s="5">
        <v>1328.96</v>
      </c>
      <c r="AA65" s="5">
        <v>87.55</v>
      </c>
      <c r="AB65" s="5">
        <f>Z65-AA65</f>
        <v>1241.41</v>
      </c>
      <c r="AC65" s="5">
        <v>2284.4</v>
      </c>
      <c r="AD65" s="5">
        <v>2214.93</v>
      </c>
      <c r="AE65" s="5">
        <f>AC65-AD65</f>
        <v>69.4700000000003</v>
      </c>
      <c r="AF65" s="5">
        <v>36</v>
      </c>
      <c r="AG65" s="5">
        <v>31</v>
      </c>
      <c r="AH65" s="5">
        <v>5</v>
      </c>
      <c r="AI65" s="5">
        <v>35</v>
      </c>
      <c r="AJ65" s="5">
        <v>23</v>
      </c>
      <c r="AK65" s="5">
        <v>12</v>
      </c>
      <c r="AL65" s="5"/>
    </row>
    <row r="66" spans="1:38">
      <c r="A66" s="4" t="s">
        <v>143</v>
      </c>
      <c r="B66" s="4" t="s">
        <v>76</v>
      </c>
      <c r="C66" s="5" t="str">
        <f>VLOOKUP(A66,'[1]6月1号-7.5日任务完成数据'!$A:$C,3,0)</f>
        <v>业务主管</v>
      </c>
      <c r="D66" s="4" t="s">
        <v>41</v>
      </c>
      <c r="E66" s="4" t="s">
        <v>42</v>
      </c>
      <c r="F66" s="4" t="s">
        <v>43</v>
      </c>
      <c r="G66" s="4" t="s">
        <v>44</v>
      </c>
      <c r="H66" s="4">
        <v>4</v>
      </c>
      <c r="I66" s="4">
        <v>0</v>
      </c>
      <c r="J66" s="4">
        <v>3</v>
      </c>
      <c r="K66" s="4">
        <v>4</v>
      </c>
      <c r="L66" s="4">
        <v>0</v>
      </c>
      <c r="M66" s="4">
        <v>4</v>
      </c>
      <c r="N66" s="5">
        <f>S66+Z66</f>
        <v>1270.63</v>
      </c>
      <c r="O66" s="5">
        <f>T66+AA66</f>
        <v>1527.78</v>
      </c>
      <c r="P66" s="5">
        <f>N66-O66</f>
        <v>-257.15</v>
      </c>
      <c r="Q66" s="5" t="s">
        <v>51</v>
      </c>
      <c r="R66" s="4">
        <v>0</v>
      </c>
      <c r="S66" s="4">
        <v>0</v>
      </c>
      <c r="T66" s="4">
        <v>185</v>
      </c>
      <c r="U66" s="5">
        <f>S66-T66</f>
        <v>-185</v>
      </c>
      <c r="V66" s="5" t="s">
        <v>51</v>
      </c>
      <c r="W66" s="4">
        <v>0</v>
      </c>
      <c r="X66" s="4">
        <v>0</v>
      </c>
      <c r="Y66" s="4"/>
      <c r="Z66" s="5">
        <v>1270.63</v>
      </c>
      <c r="AA66" s="5">
        <v>1342.78</v>
      </c>
      <c r="AB66" s="5">
        <f>Z66-AA66</f>
        <v>-72.1499999999999</v>
      </c>
      <c r="AC66" s="5">
        <v>1803.14</v>
      </c>
      <c r="AD66" s="5">
        <v>2117.71</v>
      </c>
      <c r="AE66" s="5">
        <f>AC66-AD66</f>
        <v>-314.57</v>
      </c>
      <c r="AF66" s="5">
        <v>19</v>
      </c>
      <c r="AG66" s="5">
        <v>26</v>
      </c>
      <c r="AH66" s="5">
        <v>-7</v>
      </c>
      <c r="AI66" s="5">
        <v>19</v>
      </c>
      <c r="AJ66" s="5">
        <v>26</v>
      </c>
      <c r="AK66" s="5">
        <v>-7</v>
      </c>
      <c r="AL66" s="4"/>
    </row>
    <row r="67" spans="1:38">
      <c r="A67" s="4" t="s">
        <v>144</v>
      </c>
      <c r="B67" s="4" t="s">
        <v>47</v>
      </c>
      <c r="C67" s="5" t="str">
        <f>VLOOKUP(A67,'[1]6月1号-7.5日任务完成数据'!$A:$C,3,0)</f>
        <v>业务代表</v>
      </c>
      <c r="D67" s="4" t="s">
        <v>48</v>
      </c>
      <c r="E67" s="4" t="s">
        <v>42</v>
      </c>
      <c r="F67" s="4" t="s">
        <v>43</v>
      </c>
      <c r="G67" s="4" t="s">
        <v>44</v>
      </c>
      <c r="H67" s="4">
        <v>5.75</v>
      </c>
      <c r="I67" s="4">
        <v>3</v>
      </c>
      <c r="J67" s="4">
        <v>1</v>
      </c>
      <c r="K67" s="4">
        <v>4</v>
      </c>
      <c r="L67" s="4">
        <v>0</v>
      </c>
      <c r="M67" s="4">
        <v>4</v>
      </c>
      <c r="N67" s="5">
        <f>S67+Z67</f>
        <v>1268.32</v>
      </c>
      <c r="O67" s="5">
        <f>T67+AA67</f>
        <v>1776.39</v>
      </c>
      <c r="P67" s="5">
        <f>N67-O67</f>
        <v>-508.07</v>
      </c>
      <c r="Q67" s="5" t="s">
        <v>51</v>
      </c>
      <c r="R67" s="4">
        <v>727.88</v>
      </c>
      <c r="S67" s="4">
        <v>727.88</v>
      </c>
      <c r="T67" s="4">
        <v>517.22</v>
      </c>
      <c r="U67" s="5">
        <f>S67-T67</f>
        <v>210.66</v>
      </c>
      <c r="V67" s="5" t="s">
        <v>45</v>
      </c>
      <c r="W67" s="4">
        <v>0</v>
      </c>
      <c r="X67" s="4">
        <v>0</v>
      </c>
      <c r="Y67" s="4"/>
      <c r="Z67" s="5">
        <v>540.44</v>
      </c>
      <c r="AA67" s="5">
        <v>1259.17</v>
      </c>
      <c r="AB67" s="5">
        <f>Z67-AA67</f>
        <v>-718.73</v>
      </c>
      <c r="AC67" s="5">
        <v>1147.33</v>
      </c>
      <c r="AD67" s="5">
        <v>900.73</v>
      </c>
      <c r="AE67" s="5">
        <f>AC67-AD67</f>
        <v>246.6</v>
      </c>
      <c r="AF67" s="5">
        <v>30</v>
      </c>
      <c r="AG67" s="5">
        <v>21</v>
      </c>
      <c r="AH67" s="5">
        <v>9</v>
      </c>
      <c r="AI67" s="5">
        <v>28</v>
      </c>
      <c r="AJ67" s="5">
        <v>21</v>
      </c>
      <c r="AK67" s="5">
        <v>7</v>
      </c>
      <c r="AL67" s="4"/>
    </row>
    <row r="68" spans="1:38">
      <c r="A68" s="4" t="s">
        <v>145</v>
      </c>
      <c r="B68" s="4" t="s">
        <v>94</v>
      </c>
      <c r="C68" s="5" t="str">
        <f>VLOOKUP(A68,'[1]6月1号-7.5日任务完成数据'!$A:$C,3,0)</f>
        <v>业务代表</v>
      </c>
      <c r="D68" s="4" t="s">
        <v>41</v>
      </c>
      <c r="E68" s="4" t="s">
        <v>42</v>
      </c>
      <c r="F68" s="4" t="s">
        <v>43</v>
      </c>
      <c r="G68" s="4" t="s">
        <v>44</v>
      </c>
      <c r="H68" s="4">
        <v>4.5</v>
      </c>
      <c r="I68" s="4">
        <v>1</v>
      </c>
      <c r="J68" s="4">
        <v>3</v>
      </c>
      <c r="K68" s="4">
        <v>4</v>
      </c>
      <c r="L68" s="4">
        <v>0</v>
      </c>
      <c r="M68" s="4">
        <v>4</v>
      </c>
      <c r="N68" s="5">
        <f>S68+Z68</f>
        <v>1256.55</v>
      </c>
      <c r="O68" s="5">
        <f>T68+AA68</f>
        <v>1389.5</v>
      </c>
      <c r="P68" s="5">
        <f>N68-O68</f>
        <v>-132.95</v>
      </c>
      <c r="Q68" s="5" t="s">
        <v>51</v>
      </c>
      <c r="R68" s="4">
        <v>747</v>
      </c>
      <c r="S68" s="4">
        <v>345.22</v>
      </c>
      <c r="T68" s="4">
        <v>1389.5</v>
      </c>
      <c r="U68" s="5">
        <f>S68-T68</f>
        <v>-1044.28</v>
      </c>
      <c r="V68" s="5" t="s">
        <v>51</v>
      </c>
      <c r="W68" s="4">
        <v>0</v>
      </c>
      <c r="X68" s="4">
        <v>0</v>
      </c>
      <c r="Y68" s="4"/>
      <c r="Z68" s="5">
        <v>911.33</v>
      </c>
      <c r="AA68" s="5"/>
      <c r="AB68" s="5"/>
      <c r="AC68" s="5">
        <v>687.01</v>
      </c>
      <c r="AD68" s="5">
        <v>936.24</v>
      </c>
      <c r="AE68" s="5">
        <f>AC68-AD68</f>
        <v>-249.23</v>
      </c>
      <c r="AF68" s="5">
        <v>29</v>
      </c>
      <c r="AG68" s="5">
        <v>28</v>
      </c>
      <c r="AH68" s="5">
        <v>1</v>
      </c>
      <c r="AI68" s="5">
        <v>27</v>
      </c>
      <c r="AJ68" s="5">
        <v>26</v>
      </c>
      <c r="AK68" s="5">
        <v>1</v>
      </c>
      <c r="AL68" s="4"/>
    </row>
    <row r="69" spans="1:38">
      <c r="A69" s="5" t="s">
        <v>146</v>
      </c>
      <c r="B69" s="5" t="s">
        <v>62</v>
      </c>
      <c r="C69" s="5" t="str">
        <f>VLOOKUP(A69,'[1]6月1号-7.5日任务完成数据'!$A:$C,3,0)</f>
        <v>业务代表</v>
      </c>
      <c r="D69" s="5" t="s">
        <v>48</v>
      </c>
      <c r="E69" s="5" t="s">
        <v>42</v>
      </c>
      <c r="F69" s="5" t="s">
        <v>43</v>
      </c>
      <c r="G69" s="5" t="s">
        <v>44</v>
      </c>
      <c r="H69" s="5">
        <v>4</v>
      </c>
      <c r="I69" s="5">
        <v>0</v>
      </c>
      <c r="J69" s="5">
        <v>2</v>
      </c>
      <c r="K69" s="5">
        <v>4</v>
      </c>
      <c r="L69" s="5">
        <v>1</v>
      </c>
      <c r="M69" s="5">
        <v>3</v>
      </c>
      <c r="N69" s="5">
        <f>S69+Z69</f>
        <v>1227.4</v>
      </c>
      <c r="O69" s="5">
        <f>T69+AA69</f>
        <v>2893.34</v>
      </c>
      <c r="P69" s="5">
        <f>N69-O69</f>
        <v>-1665.94</v>
      </c>
      <c r="Q69" s="5" t="s">
        <v>51</v>
      </c>
      <c r="R69" s="5">
        <v>0</v>
      </c>
      <c r="S69" s="5">
        <v>0</v>
      </c>
      <c r="T69" s="5">
        <v>562</v>
      </c>
      <c r="U69" s="5">
        <f>S69-T69</f>
        <v>-562</v>
      </c>
      <c r="V69" s="5" t="s">
        <v>51</v>
      </c>
      <c r="W69" s="5">
        <v>0</v>
      </c>
      <c r="X69" s="5">
        <v>0</v>
      </c>
      <c r="Y69" s="5"/>
      <c r="Z69" s="5">
        <v>1227.4</v>
      </c>
      <c r="AA69" s="5">
        <v>2331.34</v>
      </c>
      <c r="AB69" s="5">
        <f>Z69-AA69</f>
        <v>-1103.94</v>
      </c>
      <c r="AC69" s="5">
        <v>1473.91</v>
      </c>
      <c r="AD69" s="5">
        <v>1420.08</v>
      </c>
      <c r="AE69" s="5">
        <f>AC69-AD69</f>
        <v>53.8300000000002</v>
      </c>
      <c r="AF69" s="5">
        <v>22</v>
      </c>
      <c r="AG69" s="5">
        <v>22</v>
      </c>
      <c r="AH69" s="5">
        <v>0</v>
      </c>
      <c r="AI69" s="5">
        <v>22</v>
      </c>
      <c r="AJ69" s="5">
        <v>21</v>
      </c>
      <c r="AK69" s="5">
        <v>1</v>
      </c>
      <c r="AL69" s="5"/>
    </row>
    <row r="70" spans="1:38">
      <c r="A70" s="4" t="s">
        <v>147</v>
      </c>
      <c r="B70" s="4" t="s">
        <v>118</v>
      </c>
      <c r="C70" s="5" t="str">
        <f>VLOOKUP(A70,'[1]6月1号-7.5日任务完成数据'!$A:$C,3,0)</f>
        <v>业务代表</v>
      </c>
      <c r="D70" s="4" t="s">
        <v>41</v>
      </c>
      <c r="E70" s="4" t="s">
        <v>42</v>
      </c>
      <c r="F70" s="4" t="s">
        <v>43</v>
      </c>
      <c r="G70" s="4" t="s">
        <v>44</v>
      </c>
      <c r="H70" s="4">
        <v>5</v>
      </c>
      <c r="I70" s="4">
        <v>1</v>
      </c>
      <c r="J70" s="4">
        <v>1</v>
      </c>
      <c r="K70" s="4">
        <v>4</v>
      </c>
      <c r="L70" s="4">
        <v>0</v>
      </c>
      <c r="M70" s="4">
        <v>4</v>
      </c>
      <c r="N70" s="5">
        <f>S70+Z70</f>
        <v>1221.28</v>
      </c>
      <c r="O70" s="5">
        <f>T70+AA70</f>
        <v>1181.71</v>
      </c>
      <c r="P70" s="5">
        <f>N70-O70</f>
        <v>39.5699999999999</v>
      </c>
      <c r="Q70" s="5" t="s">
        <v>45</v>
      </c>
      <c r="R70" s="4">
        <v>285</v>
      </c>
      <c r="S70" s="4">
        <v>285</v>
      </c>
      <c r="T70" s="4">
        <v>562</v>
      </c>
      <c r="U70" s="5">
        <f>S70-T70</f>
        <v>-277</v>
      </c>
      <c r="V70" s="5" t="s">
        <v>51</v>
      </c>
      <c r="W70" s="4">
        <v>0</v>
      </c>
      <c r="X70" s="4">
        <v>0</v>
      </c>
      <c r="Y70" s="4"/>
      <c r="Z70" s="5">
        <v>936.28</v>
      </c>
      <c r="AA70" s="5">
        <v>619.71</v>
      </c>
      <c r="AB70" s="5">
        <f>Z70-AA70</f>
        <v>316.57</v>
      </c>
      <c r="AC70" s="5">
        <v>1877.67</v>
      </c>
      <c r="AD70" s="5">
        <v>1560.47</v>
      </c>
      <c r="AE70" s="5">
        <f>AC70-AD70</f>
        <v>317.2</v>
      </c>
      <c r="AF70" s="5">
        <v>33</v>
      </c>
      <c r="AG70" s="5">
        <v>31</v>
      </c>
      <c r="AH70" s="5">
        <v>2</v>
      </c>
      <c r="AI70" s="5">
        <v>28</v>
      </c>
      <c r="AJ70" s="5">
        <v>28</v>
      </c>
      <c r="AK70" s="5">
        <v>0</v>
      </c>
      <c r="AL70" s="4"/>
    </row>
    <row r="71" spans="1:38">
      <c r="A71" s="5" t="s">
        <v>148</v>
      </c>
      <c r="B71" s="5" t="s">
        <v>47</v>
      </c>
      <c r="C71" s="5" t="s">
        <v>87</v>
      </c>
      <c r="D71" s="5" t="s">
        <v>41</v>
      </c>
      <c r="E71" s="5" t="s">
        <v>42</v>
      </c>
      <c r="F71" s="5" t="s">
        <v>43</v>
      </c>
      <c r="G71" s="5" t="s">
        <v>88</v>
      </c>
      <c r="H71" s="5"/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f>S71+Z71</f>
        <v>1194.96</v>
      </c>
      <c r="O71" s="5">
        <f>T71+AA71</f>
        <v>3724.93</v>
      </c>
      <c r="P71" s="5">
        <f>N71-O71</f>
        <v>-2529.97</v>
      </c>
      <c r="Q71" s="5" t="s">
        <v>51</v>
      </c>
      <c r="R71" s="5">
        <v>0</v>
      </c>
      <c r="S71" s="5">
        <v>0</v>
      </c>
      <c r="T71" s="5">
        <v>3374.66</v>
      </c>
      <c r="U71" s="5">
        <f>S71-T71</f>
        <v>-3374.66</v>
      </c>
      <c r="V71" s="5"/>
      <c r="W71" s="5">
        <v>0</v>
      </c>
      <c r="X71" s="5">
        <v>0</v>
      </c>
      <c r="Y71" s="5"/>
      <c r="Z71" s="5">
        <v>1194.96</v>
      </c>
      <c r="AA71" s="5">
        <v>350.27</v>
      </c>
      <c r="AB71" s="5">
        <f>Z71-AA71</f>
        <v>844.69</v>
      </c>
      <c r="AC71" s="5"/>
      <c r="AD71" s="5">
        <v>1991.6</v>
      </c>
      <c r="AE71" s="5">
        <f>AC71-AD71</f>
        <v>-1991.6</v>
      </c>
      <c r="AF71" s="5">
        <v>0</v>
      </c>
      <c r="AG71" s="5">
        <v>20</v>
      </c>
      <c r="AH71" s="5">
        <v>-20</v>
      </c>
      <c r="AI71" s="5">
        <v>0</v>
      </c>
      <c r="AJ71" s="5">
        <v>17</v>
      </c>
      <c r="AK71" s="5">
        <v>-17</v>
      </c>
      <c r="AL71" s="5" t="s">
        <v>89</v>
      </c>
    </row>
    <row r="72" spans="1:38">
      <c r="A72" s="4" t="s">
        <v>149</v>
      </c>
      <c r="B72" s="4" t="s">
        <v>94</v>
      </c>
      <c r="C72" s="5" t="str">
        <f>VLOOKUP(A72,'[1]6月1号-7.5日任务完成数据'!$A:$C,3,0)</f>
        <v>业务代表</v>
      </c>
      <c r="D72" s="4" t="s">
        <v>41</v>
      </c>
      <c r="E72" s="4" t="s">
        <v>42</v>
      </c>
      <c r="F72" s="4" t="s">
        <v>43</v>
      </c>
      <c r="G72" s="4" t="s">
        <v>44</v>
      </c>
      <c r="H72" s="4">
        <v>5.75</v>
      </c>
      <c r="I72" s="4">
        <v>1</v>
      </c>
      <c r="J72" s="4">
        <v>0</v>
      </c>
      <c r="K72" s="4">
        <v>4</v>
      </c>
      <c r="L72" s="4">
        <v>0</v>
      </c>
      <c r="M72" s="4">
        <v>4</v>
      </c>
      <c r="N72" s="5">
        <f>S72+Z72</f>
        <v>1192.56</v>
      </c>
      <c r="O72" s="5">
        <f>T72+AA72</f>
        <v>1697.79</v>
      </c>
      <c r="P72" s="5">
        <f>N72-O72</f>
        <v>-505.23</v>
      </c>
      <c r="Q72" s="5" t="s">
        <v>51</v>
      </c>
      <c r="R72" s="4">
        <v>338</v>
      </c>
      <c r="S72" s="4">
        <v>338</v>
      </c>
      <c r="T72" s="4">
        <v>578</v>
      </c>
      <c r="U72" s="5">
        <f>S72-T72</f>
        <v>-240</v>
      </c>
      <c r="V72" s="5" t="s">
        <v>51</v>
      </c>
      <c r="W72" s="4">
        <v>0</v>
      </c>
      <c r="X72" s="4">
        <v>0</v>
      </c>
      <c r="Y72" s="4"/>
      <c r="Z72" s="5">
        <v>854.56</v>
      </c>
      <c r="AA72" s="5">
        <v>1119.79</v>
      </c>
      <c r="AB72" s="5">
        <f>Z72-AA72</f>
        <v>-265.23</v>
      </c>
      <c r="AC72" s="5">
        <v>2324.68</v>
      </c>
      <c r="AD72" s="5">
        <v>1424.27</v>
      </c>
      <c r="AE72" s="5">
        <f>AC72-AD72</f>
        <v>900.41</v>
      </c>
      <c r="AF72" s="5">
        <v>34</v>
      </c>
      <c r="AG72" s="5">
        <v>33</v>
      </c>
      <c r="AH72" s="5">
        <v>1</v>
      </c>
      <c r="AI72" s="5">
        <v>32</v>
      </c>
      <c r="AJ72" s="5">
        <v>31</v>
      </c>
      <c r="AK72" s="5">
        <v>1</v>
      </c>
      <c r="AL72" s="4"/>
    </row>
    <row r="73" spans="1:38">
      <c r="A73" s="4" t="s">
        <v>150</v>
      </c>
      <c r="B73" s="4" t="s">
        <v>76</v>
      </c>
      <c r="C73" s="5" t="str">
        <f>VLOOKUP(A73,'[1]6月1号-7.5日任务完成数据'!$A:$C,3,0)</f>
        <v>区域经理</v>
      </c>
      <c r="D73" s="4" t="s">
        <v>41</v>
      </c>
      <c r="E73" s="4" t="s">
        <v>42</v>
      </c>
      <c r="F73" s="4" t="s">
        <v>43</v>
      </c>
      <c r="G73" s="4" t="s">
        <v>44</v>
      </c>
      <c r="H73" s="4">
        <v>2</v>
      </c>
      <c r="I73" s="4">
        <v>1</v>
      </c>
      <c r="J73" s="4">
        <v>0</v>
      </c>
      <c r="K73" s="4">
        <v>1</v>
      </c>
      <c r="L73" s="4">
        <v>0</v>
      </c>
      <c r="M73" s="4">
        <v>1</v>
      </c>
      <c r="N73" s="5">
        <f>S73+Z73</f>
        <v>1190.48</v>
      </c>
      <c r="O73" s="5">
        <f>T73+AA73</f>
        <v>1815.25</v>
      </c>
      <c r="P73" s="5">
        <f>N73-O73</f>
        <v>-624.77</v>
      </c>
      <c r="Q73" s="5" t="s">
        <v>51</v>
      </c>
      <c r="R73" s="4">
        <v>446.49</v>
      </c>
      <c r="S73" s="4">
        <v>1190.48</v>
      </c>
      <c r="T73" s="4">
        <v>1815.25</v>
      </c>
      <c r="U73" s="5">
        <f>S73-T73</f>
        <v>-624.77</v>
      </c>
      <c r="V73" s="5" t="s">
        <v>51</v>
      </c>
      <c r="W73" s="4">
        <v>0</v>
      </c>
      <c r="X73" s="4">
        <v>0</v>
      </c>
      <c r="Y73" s="4"/>
      <c r="Z73" s="5"/>
      <c r="AA73" s="5"/>
      <c r="AB73" s="5"/>
      <c r="AC73" s="5">
        <v>0</v>
      </c>
      <c r="AD73" s="5">
        <v>0</v>
      </c>
      <c r="AE73" s="5">
        <f>AC73-AD73</f>
        <v>0</v>
      </c>
      <c r="AF73" s="5">
        <v>2</v>
      </c>
      <c r="AG73" s="5">
        <v>0</v>
      </c>
      <c r="AH73" s="5">
        <v>2</v>
      </c>
      <c r="AI73" s="5">
        <v>2</v>
      </c>
      <c r="AJ73" s="5">
        <v>0</v>
      </c>
      <c r="AK73" s="5">
        <v>2</v>
      </c>
      <c r="AL73" s="4"/>
    </row>
    <row r="74" spans="1:38">
      <c r="A74" s="4" t="s">
        <v>151</v>
      </c>
      <c r="B74" s="4" t="s">
        <v>114</v>
      </c>
      <c r="C74" s="5" t="str">
        <f>VLOOKUP(A74,'[1]6月1号-7.5日任务完成数据'!$A:$C,3,0)</f>
        <v>业务代表</v>
      </c>
      <c r="D74" s="4" t="s">
        <v>56</v>
      </c>
      <c r="E74" s="4" t="s">
        <v>42</v>
      </c>
      <c r="F74" s="4" t="s">
        <v>43</v>
      </c>
      <c r="G74" s="4" t="s">
        <v>44</v>
      </c>
      <c r="H74" s="4">
        <v>5.5</v>
      </c>
      <c r="I74" s="4">
        <v>1</v>
      </c>
      <c r="J74" s="4">
        <v>1</v>
      </c>
      <c r="K74" s="4">
        <v>4</v>
      </c>
      <c r="L74" s="4">
        <v>0</v>
      </c>
      <c r="M74" s="4">
        <v>4</v>
      </c>
      <c r="N74" s="5">
        <f>S74+Z74</f>
        <v>1186.29</v>
      </c>
      <c r="O74" s="5">
        <f>T74+AA74</f>
        <v>1211.99</v>
      </c>
      <c r="P74" s="5">
        <f>N74-O74</f>
        <v>-25.7</v>
      </c>
      <c r="Q74" s="5" t="s">
        <v>51</v>
      </c>
      <c r="R74" s="4">
        <v>174.05</v>
      </c>
      <c r="S74" s="4">
        <v>174.05</v>
      </c>
      <c r="T74" s="4">
        <v>0</v>
      </c>
      <c r="U74" s="5">
        <f>S74-T74</f>
        <v>174.05</v>
      </c>
      <c r="V74" s="5"/>
      <c r="W74" s="4">
        <v>0</v>
      </c>
      <c r="X74" s="4">
        <v>0</v>
      </c>
      <c r="Y74" s="4"/>
      <c r="Z74" s="5">
        <v>1012.24</v>
      </c>
      <c r="AA74" s="5">
        <v>1211.99</v>
      </c>
      <c r="AB74" s="5">
        <f>Z74-AA74</f>
        <v>-199.75</v>
      </c>
      <c r="AC74" s="5">
        <v>1979.22</v>
      </c>
      <c r="AD74" s="5">
        <v>1687.07</v>
      </c>
      <c r="AE74" s="5">
        <f>AC74-AD74</f>
        <v>292.15</v>
      </c>
      <c r="AF74" s="5">
        <v>28</v>
      </c>
      <c r="AG74" s="5">
        <v>27</v>
      </c>
      <c r="AH74" s="5">
        <v>1</v>
      </c>
      <c r="AI74" s="5">
        <v>27</v>
      </c>
      <c r="AJ74" s="5">
        <v>27</v>
      </c>
      <c r="AK74" s="5">
        <v>0</v>
      </c>
      <c r="AL74" s="4"/>
    </row>
    <row r="75" spans="1:38">
      <c r="A75" s="5" t="s">
        <v>152</v>
      </c>
      <c r="B75" s="5" t="s">
        <v>58</v>
      </c>
      <c r="C75" s="5" t="str">
        <f>VLOOKUP(A75,'[1]6月1号-7.5日任务完成数据'!$A:$C,3,0)</f>
        <v>区域经理</v>
      </c>
      <c r="D75" s="5" t="s">
        <v>41</v>
      </c>
      <c r="E75" s="5" t="s">
        <v>42</v>
      </c>
      <c r="F75" s="5" t="s">
        <v>43</v>
      </c>
      <c r="G75" s="5" t="s">
        <v>44</v>
      </c>
      <c r="H75" s="5">
        <v>5</v>
      </c>
      <c r="I75" s="5">
        <v>2</v>
      </c>
      <c r="J75" s="5">
        <v>2</v>
      </c>
      <c r="K75" s="5">
        <v>3</v>
      </c>
      <c r="L75" s="5">
        <v>3</v>
      </c>
      <c r="M75" s="5">
        <v>0</v>
      </c>
      <c r="N75" s="5">
        <f>S75+Z75</f>
        <v>1143</v>
      </c>
      <c r="O75" s="5">
        <f>T75+AA75</f>
        <v>796</v>
      </c>
      <c r="P75" s="5">
        <f>N75-O75</f>
        <v>347</v>
      </c>
      <c r="Q75" s="5" t="s">
        <v>45</v>
      </c>
      <c r="R75" s="5">
        <v>0</v>
      </c>
      <c r="S75" s="5">
        <v>1143</v>
      </c>
      <c r="T75" s="5">
        <v>796</v>
      </c>
      <c r="U75" s="5">
        <f>S75-T75</f>
        <v>347</v>
      </c>
      <c r="V75" s="5" t="s">
        <v>45</v>
      </c>
      <c r="W75" s="5">
        <v>0</v>
      </c>
      <c r="X75" s="5">
        <v>0</v>
      </c>
      <c r="Y75" s="5"/>
      <c r="Z75" s="5"/>
      <c r="AA75" s="5"/>
      <c r="AB75" s="5"/>
      <c r="AC75" s="5">
        <v>0</v>
      </c>
      <c r="AD75" s="5"/>
      <c r="AE75" s="5">
        <f>AC75-AD75</f>
        <v>0</v>
      </c>
      <c r="AF75" s="5">
        <v>7</v>
      </c>
      <c r="AG75" s="5">
        <v>0</v>
      </c>
      <c r="AH75" s="5">
        <v>7</v>
      </c>
      <c r="AI75" s="5">
        <v>7</v>
      </c>
      <c r="AJ75" s="5">
        <v>0</v>
      </c>
      <c r="AK75" s="5">
        <v>7</v>
      </c>
      <c r="AL75" s="5"/>
    </row>
    <row r="76" spans="1:38">
      <c r="A76" s="4" t="s">
        <v>153</v>
      </c>
      <c r="B76" s="4" t="s">
        <v>67</v>
      </c>
      <c r="C76" s="5" t="str">
        <f>VLOOKUP(A76,'[1]6月1号-7.5日任务完成数据'!$A:$C,3,0)</f>
        <v>业务代表</v>
      </c>
      <c r="D76" s="4" t="s">
        <v>68</v>
      </c>
      <c r="E76" s="4" t="s">
        <v>42</v>
      </c>
      <c r="F76" s="4" t="s">
        <v>43</v>
      </c>
      <c r="G76" s="4" t="s">
        <v>44</v>
      </c>
      <c r="H76" s="4">
        <v>5.25</v>
      </c>
      <c r="I76" s="4">
        <v>1</v>
      </c>
      <c r="J76" s="4">
        <v>1</v>
      </c>
      <c r="K76" s="4">
        <v>4</v>
      </c>
      <c r="L76" s="4">
        <v>0</v>
      </c>
      <c r="M76" s="4">
        <v>4</v>
      </c>
      <c r="N76" s="5">
        <f>S76+Z76</f>
        <v>1091</v>
      </c>
      <c r="O76" s="5">
        <f>T76+AA76</f>
        <v>732.36</v>
      </c>
      <c r="P76" s="5">
        <f>N76-O76</f>
        <v>358.64</v>
      </c>
      <c r="Q76" s="5" t="s">
        <v>45</v>
      </c>
      <c r="R76" s="4">
        <v>481</v>
      </c>
      <c r="S76" s="4">
        <v>481</v>
      </c>
      <c r="T76" s="4">
        <v>506</v>
      </c>
      <c r="U76" s="5">
        <f>S76-T76</f>
        <v>-25</v>
      </c>
      <c r="V76" s="5" t="s">
        <v>51</v>
      </c>
      <c r="W76" s="4">
        <v>0</v>
      </c>
      <c r="X76" s="4">
        <v>0</v>
      </c>
      <c r="Y76" s="4"/>
      <c r="Z76" s="5">
        <v>610</v>
      </c>
      <c r="AA76" s="5">
        <v>226.36</v>
      </c>
      <c r="AB76" s="5">
        <f>Z76-AA76</f>
        <v>383.64</v>
      </c>
      <c r="AC76" s="5">
        <v>797.07</v>
      </c>
      <c r="AD76" s="5">
        <v>1018.86</v>
      </c>
      <c r="AE76" s="5">
        <f>AC76-AD76</f>
        <v>-221.79</v>
      </c>
      <c r="AF76" s="5">
        <v>32</v>
      </c>
      <c r="AG76" s="5">
        <v>32</v>
      </c>
      <c r="AH76" s="5">
        <v>0</v>
      </c>
      <c r="AI76" s="5">
        <v>27</v>
      </c>
      <c r="AJ76" s="5">
        <v>30</v>
      </c>
      <c r="AK76" s="5">
        <v>-3</v>
      </c>
      <c r="AL76" s="4"/>
    </row>
    <row r="77" spans="1:38">
      <c r="A77" s="5" t="s">
        <v>154</v>
      </c>
      <c r="B77" s="5" t="s">
        <v>155</v>
      </c>
      <c r="C77" s="5" t="str">
        <f>VLOOKUP(A77,'[1]6月1号-7.5日任务完成数据'!$A:$C,3,0)</f>
        <v>战区经理</v>
      </c>
      <c r="D77" s="5" t="s">
        <v>68</v>
      </c>
      <c r="E77" s="5" t="s">
        <v>42</v>
      </c>
      <c r="F77" s="5" t="s">
        <v>43</v>
      </c>
      <c r="G77" s="5" t="s">
        <v>44</v>
      </c>
      <c r="H77" s="5">
        <v>3.33</v>
      </c>
      <c r="I77" s="5">
        <v>1</v>
      </c>
      <c r="J77" s="5">
        <v>3</v>
      </c>
      <c r="K77" s="5">
        <v>3</v>
      </c>
      <c r="L77" s="5">
        <v>1</v>
      </c>
      <c r="M77" s="5">
        <v>2</v>
      </c>
      <c r="N77" s="5">
        <f>S77+Z77</f>
        <v>977.48</v>
      </c>
      <c r="O77" s="5">
        <f>T77+AA77</f>
        <v>2328.71</v>
      </c>
      <c r="P77" s="5">
        <f>N77-O77</f>
        <v>-1351.23</v>
      </c>
      <c r="Q77" s="5" t="s">
        <v>51</v>
      </c>
      <c r="R77" s="5">
        <v>605</v>
      </c>
      <c r="S77" s="5">
        <v>605</v>
      </c>
      <c r="T77" s="5">
        <v>1802.14</v>
      </c>
      <c r="U77" s="5">
        <f>S77-T77</f>
        <v>-1197.14</v>
      </c>
      <c r="V77" s="5" t="s">
        <v>51</v>
      </c>
      <c r="W77" s="5">
        <v>0</v>
      </c>
      <c r="X77" s="5">
        <v>0</v>
      </c>
      <c r="Y77" s="5"/>
      <c r="Z77" s="5">
        <v>372.48</v>
      </c>
      <c r="AA77" s="5">
        <v>526.57</v>
      </c>
      <c r="AB77" s="5">
        <f>Z77-AA77</f>
        <v>-154.09</v>
      </c>
      <c r="AC77" s="5">
        <v>840.91</v>
      </c>
      <c r="AD77" s="5">
        <v>620.8</v>
      </c>
      <c r="AE77" s="5">
        <f>AC77-AD77</f>
        <v>220.11</v>
      </c>
      <c r="AF77" s="5">
        <v>14</v>
      </c>
      <c r="AG77" s="5">
        <v>6</v>
      </c>
      <c r="AH77" s="5">
        <v>8</v>
      </c>
      <c r="AI77" s="5">
        <v>14</v>
      </c>
      <c r="AJ77" s="5">
        <v>6</v>
      </c>
      <c r="AK77" s="5">
        <v>8</v>
      </c>
      <c r="AL77" s="5"/>
    </row>
    <row r="78" spans="1:38">
      <c r="A78" s="5" t="s">
        <v>156</v>
      </c>
      <c r="B78" s="5" t="s">
        <v>72</v>
      </c>
      <c r="C78" s="5" t="str">
        <f>VLOOKUP(A78,'[1]6月1号-7.5日任务完成数据'!$A:$C,3,0)</f>
        <v>业务代表</v>
      </c>
      <c r="D78" s="5" t="s">
        <v>41</v>
      </c>
      <c r="E78" s="5" t="s">
        <v>42</v>
      </c>
      <c r="F78" s="5" t="s">
        <v>43</v>
      </c>
      <c r="G78" s="5" t="s">
        <v>44</v>
      </c>
      <c r="H78" s="5">
        <v>4.75</v>
      </c>
      <c r="I78" s="5">
        <v>3</v>
      </c>
      <c r="J78" s="5">
        <v>3</v>
      </c>
      <c r="K78" s="5">
        <v>4</v>
      </c>
      <c r="L78" s="5">
        <v>1</v>
      </c>
      <c r="M78" s="5">
        <v>3</v>
      </c>
      <c r="N78" s="5">
        <f>S78+Z78</f>
        <v>972.05</v>
      </c>
      <c r="O78" s="5">
        <f>T78+AA78</f>
        <v>698</v>
      </c>
      <c r="P78" s="5">
        <f>N78-O78</f>
        <v>274.05</v>
      </c>
      <c r="Q78" s="5" t="s">
        <v>45</v>
      </c>
      <c r="R78" s="5">
        <v>833.99</v>
      </c>
      <c r="S78" s="5">
        <v>642.05</v>
      </c>
      <c r="T78" s="5">
        <v>698</v>
      </c>
      <c r="U78" s="5">
        <f>S78-T78</f>
        <v>-55.95</v>
      </c>
      <c r="V78" s="5" t="s">
        <v>51</v>
      </c>
      <c r="W78" s="5">
        <v>0</v>
      </c>
      <c r="X78" s="5">
        <v>1</v>
      </c>
      <c r="Y78" s="5"/>
      <c r="Z78" s="5">
        <v>330</v>
      </c>
      <c r="AA78" s="5"/>
      <c r="AB78" s="5"/>
      <c r="AC78" s="5">
        <v>1602.98</v>
      </c>
      <c r="AD78" s="5">
        <v>551.37</v>
      </c>
      <c r="AE78" s="5">
        <f>AC78-AD78</f>
        <v>1051.61</v>
      </c>
      <c r="AF78" s="5">
        <v>35</v>
      </c>
      <c r="AG78" s="5">
        <v>20</v>
      </c>
      <c r="AH78" s="5">
        <v>15</v>
      </c>
      <c r="AI78" s="5">
        <v>27</v>
      </c>
      <c r="AJ78" s="5">
        <v>16</v>
      </c>
      <c r="AK78" s="5">
        <v>11</v>
      </c>
      <c r="AL78" s="5"/>
    </row>
    <row r="79" spans="1:38">
      <c r="A79" s="4" t="s">
        <v>157</v>
      </c>
      <c r="B79" s="4" t="s">
        <v>94</v>
      </c>
      <c r="C79" s="5" t="str">
        <f>VLOOKUP(A79,'[1]6月1号-7.5日任务完成数据'!$A:$C,3,0)</f>
        <v>业务代表</v>
      </c>
      <c r="D79" s="4" t="s">
        <v>41</v>
      </c>
      <c r="E79" s="4" t="s">
        <v>140</v>
      </c>
      <c r="F79" s="4" t="s">
        <v>43</v>
      </c>
      <c r="G79" s="4" t="s">
        <v>44</v>
      </c>
      <c r="H79" s="4">
        <v>3.4</v>
      </c>
      <c r="I79" s="4">
        <v>3</v>
      </c>
      <c r="J79" s="4">
        <v>3</v>
      </c>
      <c r="K79" s="4">
        <v>5</v>
      </c>
      <c r="L79" s="4">
        <v>0</v>
      </c>
      <c r="M79" s="4">
        <v>5</v>
      </c>
      <c r="N79" s="5">
        <f>S79+Z79</f>
        <v>954.94</v>
      </c>
      <c r="O79" s="5">
        <f>T79+AA79</f>
        <v>0</v>
      </c>
      <c r="P79" s="5">
        <f>N79-O79</f>
        <v>954.94</v>
      </c>
      <c r="Q79" s="5"/>
      <c r="R79" s="4">
        <v>954.94</v>
      </c>
      <c r="S79" s="4">
        <v>954.94</v>
      </c>
      <c r="T79" s="4">
        <v>0</v>
      </c>
      <c r="U79" s="5">
        <f>S79-T79</f>
        <v>954.94</v>
      </c>
      <c r="V79" s="5"/>
      <c r="W79" s="4">
        <v>0</v>
      </c>
      <c r="X79" s="4">
        <v>0</v>
      </c>
      <c r="Y79" s="4"/>
      <c r="Z79" s="5"/>
      <c r="AA79" s="5"/>
      <c r="AB79" s="5"/>
      <c r="AC79" s="5">
        <v>1447.76</v>
      </c>
      <c r="AD79" s="5"/>
      <c r="AE79" s="5">
        <f>AC79-AD79</f>
        <v>1447.76</v>
      </c>
      <c r="AF79" s="5">
        <v>21</v>
      </c>
      <c r="AG79" s="5">
        <v>0</v>
      </c>
      <c r="AH79" s="5">
        <v>21</v>
      </c>
      <c r="AI79" s="5">
        <v>18</v>
      </c>
      <c r="AJ79" s="5">
        <v>0</v>
      </c>
      <c r="AK79" s="5">
        <v>18</v>
      </c>
      <c r="AL79" s="4"/>
    </row>
    <row r="80" spans="1:38">
      <c r="A80" s="5" t="s">
        <v>158</v>
      </c>
      <c r="B80" s="5" t="s">
        <v>116</v>
      </c>
      <c r="C80" s="5" t="str">
        <f>VLOOKUP(A80,'[1]6月1号-7.5日任务完成数据'!$A:$C,3,0)</f>
        <v>业务代表</v>
      </c>
      <c r="D80" s="5" t="s">
        <v>41</v>
      </c>
      <c r="E80" s="5" t="s">
        <v>42</v>
      </c>
      <c r="F80" s="5" t="s">
        <v>43</v>
      </c>
      <c r="G80" s="5" t="s">
        <v>44</v>
      </c>
      <c r="H80" s="5">
        <v>5</v>
      </c>
      <c r="I80" s="5">
        <v>0</v>
      </c>
      <c r="J80" s="5">
        <v>0</v>
      </c>
      <c r="K80" s="5">
        <v>4</v>
      </c>
      <c r="L80" s="5">
        <v>1</v>
      </c>
      <c r="M80" s="5">
        <v>3</v>
      </c>
      <c r="N80" s="5">
        <f>S80+Z80</f>
        <v>941.77</v>
      </c>
      <c r="O80" s="5">
        <f>T80+AA80</f>
        <v>1027.63</v>
      </c>
      <c r="P80" s="5">
        <f>N80-O80</f>
        <v>-85.8600000000001</v>
      </c>
      <c r="Q80" s="5" t="s">
        <v>51</v>
      </c>
      <c r="R80" s="5">
        <v>0</v>
      </c>
      <c r="S80" s="5">
        <v>0</v>
      </c>
      <c r="T80" s="5">
        <v>0</v>
      </c>
      <c r="U80" s="5">
        <f>S80-T80</f>
        <v>0</v>
      </c>
      <c r="V80" s="5"/>
      <c r="W80" s="5">
        <v>0</v>
      </c>
      <c r="X80" s="5">
        <v>0</v>
      </c>
      <c r="Y80" s="5"/>
      <c r="Z80" s="5">
        <v>941.77</v>
      </c>
      <c r="AA80" s="5">
        <v>1027.63</v>
      </c>
      <c r="AB80" s="5">
        <f>Z80-AA80</f>
        <v>-85.8600000000001</v>
      </c>
      <c r="AC80" s="5">
        <v>1348.24</v>
      </c>
      <c r="AD80" s="5">
        <v>1569.62</v>
      </c>
      <c r="AE80" s="5">
        <f>AC80-AD80</f>
        <v>-221.38</v>
      </c>
      <c r="AF80" s="5">
        <v>29</v>
      </c>
      <c r="AG80" s="5">
        <v>29</v>
      </c>
      <c r="AH80" s="5">
        <v>0</v>
      </c>
      <c r="AI80" s="5">
        <v>27</v>
      </c>
      <c r="AJ80" s="5">
        <v>27</v>
      </c>
      <c r="AK80" s="5">
        <v>0</v>
      </c>
      <c r="AL80" s="5"/>
    </row>
    <row r="81" spans="1:38">
      <c r="A81" s="4" t="s">
        <v>159</v>
      </c>
      <c r="B81" s="4" t="s">
        <v>116</v>
      </c>
      <c r="C81" s="5" t="str">
        <f>VLOOKUP(A81,'[1]6月1号-7.5日任务完成数据'!$A:$C,3,0)</f>
        <v>业务代表</v>
      </c>
      <c r="D81" s="4" t="s">
        <v>41</v>
      </c>
      <c r="E81" s="4" t="s">
        <v>42</v>
      </c>
      <c r="F81" s="4" t="s">
        <v>43</v>
      </c>
      <c r="G81" s="4" t="s">
        <v>44</v>
      </c>
      <c r="H81" s="4">
        <v>5</v>
      </c>
      <c r="I81" s="4">
        <v>1</v>
      </c>
      <c r="J81" s="4">
        <v>0</v>
      </c>
      <c r="K81" s="4">
        <v>4</v>
      </c>
      <c r="L81" s="4">
        <v>0</v>
      </c>
      <c r="M81" s="4">
        <v>4</v>
      </c>
      <c r="N81" s="5">
        <f>S81+Z81</f>
        <v>908</v>
      </c>
      <c r="O81" s="5">
        <f>T81+AA81</f>
        <v>1079.33</v>
      </c>
      <c r="P81" s="5">
        <f>N81-O81</f>
        <v>-171.33</v>
      </c>
      <c r="Q81" s="5" t="s">
        <v>51</v>
      </c>
      <c r="R81" s="4">
        <v>0</v>
      </c>
      <c r="S81" s="4">
        <v>0</v>
      </c>
      <c r="T81" s="4">
        <v>0</v>
      </c>
      <c r="U81" s="5">
        <f>S81-T81</f>
        <v>0</v>
      </c>
      <c r="V81" s="5"/>
      <c r="W81" s="4">
        <v>0</v>
      </c>
      <c r="X81" s="4">
        <v>0</v>
      </c>
      <c r="Y81" s="4"/>
      <c r="Z81" s="5">
        <v>908</v>
      </c>
      <c r="AA81" s="5">
        <v>1079.33</v>
      </c>
      <c r="AB81" s="5">
        <f>Z81-AA81</f>
        <v>-171.33</v>
      </c>
      <c r="AC81" s="5">
        <v>1844.98</v>
      </c>
      <c r="AD81" s="5">
        <v>1513.34</v>
      </c>
      <c r="AE81" s="5">
        <f>AC81-AD81</f>
        <v>331.64</v>
      </c>
      <c r="AF81" s="5">
        <v>33</v>
      </c>
      <c r="AG81" s="5">
        <v>31</v>
      </c>
      <c r="AH81" s="5">
        <v>2</v>
      </c>
      <c r="AI81" s="5">
        <v>31</v>
      </c>
      <c r="AJ81" s="5">
        <v>28</v>
      </c>
      <c r="AK81" s="5">
        <v>3</v>
      </c>
      <c r="AL81" s="4"/>
    </row>
    <row r="82" spans="1:38">
      <c r="A82" s="4" t="s">
        <v>160</v>
      </c>
      <c r="B82" s="4" t="s">
        <v>125</v>
      </c>
      <c r="C82" s="5" t="str">
        <f>VLOOKUP(A82,'[1]6月1号-7.5日任务完成数据'!$A:$C,3,0)</f>
        <v>业务经理</v>
      </c>
      <c r="D82" s="4" t="s">
        <v>48</v>
      </c>
      <c r="E82" s="4" t="s">
        <v>42</v>
      </c>
      <c r="F82" s="4" t="s">
        <v>161</v>
      </c>
      <c r="G82" s="4" t="s">
        <v>44</v>
      </c>
      <c r="H82" s="4">
        <v>4</v>
      </c>
      <c r="I82" s="4">
        <v>1</v>
      </c>
      <c r="J82" s="4">
        <v>3</v>
      </c>
      <c r="K82" s="4">
        <v>4</v>
      </c>
      <c r="L82" s="4">
        <v>0</v>
      </c>
      <c r="M82" s="4">
        <v>4</v>
      </c>
      <c r="N82" s="5">
        <f>S82+Z82</f>
        <v>898</v>
      </c>
      <c r="O82" s="5">
        <f>T82+AA82</f>
        <v>0</v>
      </c>
      <c r="P82" s="5">
        <f>N82-O82</f>
        <v>898</v>
      </c>
      <c r="Q82" s="5"/>
      <c r="R82" s="4">
        <v>1245</v>
      </c>
      <c r="S82" s="4">
        <v>898</v>
      </c>
      <c r="T82" s="4">
        <v>0</v>
      </c>
      <c r="U82" s="5">
        <f>S82-T82</f>
        <v>898</v>
      </c>
      <c r="V82" s="5"/>
      <c r="W82" s="4">
        <v>0</v>
      </c>
      <c r="X82" s="4">
        <v>0</v>
      </c>
      <c r="Y82" s="4"/>
      <c r="Z82" s="5"/>
      <c r="AA82" s="5"/>
      <c r="AB82" s="5"/>
      <c r="AC82" s="5">
        <v>2573.26</v>
      </c>
      <c r="AD82" s="5"/>
      <c r="AE82" s="5">
        <f>AC82-AD82</f>
        <v>2573.26</v>
      </c>
      <c r="AF82" s="5">
        <v>22</v>
      </c>
      <c r="AG82" s="5">
        <v>0</v>
      </c>
      <c r="AH82" s="5">
        <v>22</v>
      </c>
      <c r="AI82" s="5">
        <v>16</v>
      </c>
      <c r="AJ82" s="5">
        <v>0</v>
      </c>
      <c r="AK82" s="5">
        <v>16</v>
      </c>
      <c r="AL82" s="4"/>
    </row>
    <row r="83" spans="1:38">
      <c r="A83" s="5" t="s">
        <v>162</v>
      </c>
      <c r="B83" s="5" t="s">
        <v>48</v>
      </c>
      <c r="C83" s="5" t="s">
        <v>87</v>
      </c>
      <c r="D83" s="5" t="s">
        <v>41</v>
      </c>
      <c r="E83" s="5" t="s">
        <v>42</v>
      </c>
      <c r="F83" s="5" t="s">
        <v>43</v>
      </c>
      <c r="G83" s="5" t="s">
        <v>88</v>
      </c>
      <c r="H83" s="5"/>
      <c r="I83" s="5">
        <v>1</v>
      </c>
      <c r="J83" s="5">
        <v>0</v>
      </c>
      <c r="K83" s="5">
        <v>0</v>
      </c>
      <c r="L83" s="5">
        <v>0</v>
      </c>
      <c r="M83" s="5">
        <v>0</v>
      </c>
      <c r="N83" s="5">
        <f>S83+Z83</f>
        <v>728</v>
      </c>
      <c r="O83" s="5">
        <f>T83+AA83</f>
        <v>158</v>
      </c>
      <c r="P83" s="5">
        <f>N83-O83</f>
        <v>570</v>
      </c>
      <c r="Q83" s="5" t="s">
        <v>45</v>
      </c>
      <c r="R83" s="5">
        <v>0</v>
      </c>
      <c r="S83" s="5">
        <v>728</v>
      </c>
      <c r="T83" s="5">
        <v>158</v>
      </c>
      <c r="U83" s="5">
        <f>S83-T83</f>
        <v>570</v>
      </c>
      <c r="V83" s="5"/>
      <c r="W83" s="5">
        <v>0</v>
      </c>
      <c r="X83" s="5">
        <v>0</v>
      </c>
      <c r="Y83" s="5"/>
      <c r="Z83" s="5"/>
      <c r="AA83" s="5"/>
      <c r="AB83" s="5"/>
      <c r="AC83" s="5"/>
      <c r="AD83" s="5">
        <v>514.96</v>
      </c>
      <c r="AE83" s="5">
        <f>AC83-AD83</f>
        <v>-514.96</v>
      </c>
      <c r="AF83" s="5">
        <v>12</v>
      </c>
      <c r="AG83" s="5">
        <v>2</v>
      </c>
      <c r="AH83" s="5">
        <v>10</v>
      </c>
      <c r="AI83" s="5">
        <v>8</v>
      </c>
      <c r="AJ83" s="5">
        <v>1</v>
      </c>
      <c r="AK83" s="5">
        <v>7</v>
      </c>
      <c r="AL83" s="5" t="s">
        <v>89</v>
      </c>
    </row>
    <row r="84" spans="1:38">
      <c r="A84" s="4" t="s">
        <v>163</v>
      </c>
      <c r="B84" s="4" t="s">
        <v>67</v>
      </c>
      <c r="C84" s="5" t="str">
        <f>VLOOKUP(A84,'[1]6月1号-7.5日任务完成数据'!$A:$C,3,0)</f>
        <v>业务代表</v>
      </c>
      <c r="D84" s="4" t="s">
        <v>68</v>
      </c>
      <c r="E84" s="4" t="s">
        <v>140</v>
      </c>
      <c r="F84" s="4" t="s">
        <v>43</v>
      </c>
      <c r="G84" s="4" t="s">
        <v>44</v>
      </c>
      <c r="H84" s="4">
        <v>5.67</v>
      </c>
      <c r="I84" s="4">
        <v>1</v>
      </c>
      <c r="J84" s="4">
        <v>2</v>
      </c>
      <c r="K84" s="4">
        <v>3</v>
      </c>
      <c r="L84" s="4">
        <v>0</v>
      </c>
      <c r="M84" s="4">
        <v>3</v>
      </c>
      <c r="N84" s="5">
        <f>S84+Z84</f>
        <v>643</v>
      </c>
      <c r="O84" s="5">
        <f>T84+AA84</f>
        <v>0</v>
      </c>
      <c r="P84" s="5">
        <f>N84-O84</f>
        <v>643</v>
      </c>
      <c r="Q84" s="5"/>
      <c r="R84" s="4">
        <v>405</v>
      </c>
      <c r="S84" s="4">
        <v>643</v>
      </c>
      <c r="T84" s="4">
        <v>0</v>
      </c>
      <c r="U84" s="5">
        <f>S84-T84</f>
        <v>643</v>
      </c>
      <c r="V84" s="5"/>
      <c r="W84" s="4">
        <v>0</v>
      </c>
      <c r="X84" s="4">
        <v>0</v>
      </c>
      <c r="Y84" s="4"/>
      <c r="Z84" s="5"/>
      <c r="AA84" s="5"/>
      <c r="AB84" s="5"/>
      <c r="AC84" s="5">
        <v>1438.92</v>
      </c>
      <c r="AD84" s="5"/>
      <c r="AE84" s="5">
        <f>AC84-AD84</f>
        <v>1438.92</v>
      </c>
      <c r="AF84" s="5">
        <v>13</v>
      </c>
      <c r="AG84" s="5">
        <v>0</v>
      </c>
      <c r="AH84" s="5">
        <v>13</v>
      </c>
      <c r="AI84" s="5">
        <v>13</v>
      </c>
      <c r="AJ84" s="5">
        <v>0</v>
      </c>
      <c r="AK84" s="5">
        <v>13</v>
      </c>
      <c r="AL84" s="4"/>
    </row>
    <row r="85" spans="1:38">
      <c r="A85" s="4" t="s">
        <v>164</v>
      </c>
      <c r="B85" s="4" t="s">
        <v>64</v>
      </c>
      <c r="C85" s="5" t="str">
        <f>VLOOKUP(A85,'[1]6月1号-7.5日任务完成数据'!$A:$C,3,0)</f>
        <v>业务代表</v>
      </c>
      <c r="D85" s="4" t="s">
        <v>48</v>
      </c>
      <c r="E85" s="4" t="s">
        <v>42</v>
      </c>
      <c r="F85" s="4" t="s">
        <v>43</v>
      </c>
      <c r="G85" s="4" t="s">
        <v>44</v>
      </c>
      <c r="H85" s="4">
        <v>5.25</v>
      </c>
      <c r="I85" s="4">
        <v>1</v>
      </c>
      <c r="J85" s="4">
        <v>2</v>
      </c>
      <c r="K85" s="4">
        <v>4</v>
      </c>
      <c r="L85" s="4">
        <v>0</v>
      </c>
      <c r="M85" s="4">
        <v>4</v>
      </c>
      <c r="N85" s="5">
        <f>S85+Z85</f>
        <v>636.02</v>
      </c>
      <c r="O85" s="5">
        <f>T85+AA85</f>
        <v>751.56</v>
      </c>
      <c r="P85" s="5">
        <f>N85-O85</f>
        <v>-115.54</v>
      </c>
      <c r="Q85" s="5" t="s">
        <v>51</v>
      </c>
      <c r="R85" s="4">
        <v>610.89</v>
      </c>
      <c r="S85" s="4">
        <v>431.89</v>
      </c>
      <c r="T85" s="4">
        <v>0</v>
      </c>
      <c r="U85" s="5">
        <f>S85-T85</f>
        <v>431.89</v>
      </c>
      <c r="V85" s="5"/>
      <c r="W85" s="4">
        <v>0</v>
      </c>
      <c r="X85" s="4">
        <v>0</v>
      </c>
      <c r="Y85" s="4"/>
      <c r="Z85" s="5">
        <v>204.13</v>
      </c>
      <c r="AA85" s="5">
        <v>751.56</v>
      </c>
      <c r="AB85" s="5">
        <f>Z85-AA85</f>
        <v>-547.43</v>
      </c>
      <c r="AC85" s="5">
        <v>745.21</v>
      </c>
      <c r="AD85" s="5">
        <v>340.22</v>
      </c>
      <c r="AE85" s="5">
        <f>AC85-AD85</f>
        <v>404.99</v>
      </c>
      <c r="AF85" s="5">
        <v>28</v>
      </c>
      <c r="AG85" s="5">
        <v>27</v>
      </c>
      <c r="AH85" s="5">
        <v>1</v>
      </c>
      <c r="AI85" s="5">
        <v>28</v>
      </c>
      <c r="AJ85" s="5">
        <v>27</v>
      </c>
      <c r="AK85" s="5">
        <v>1</v>
      </c>
      <c r="AL85" s="4"/>
    </row>
    <row r="86" spans="1:38">
      <c r="A86" s="5" t="s">
        <v>165</v>
      </c>
      <c r="B86" s="5" t="s">
        <v>72</v>
      </c>
      <c r="C86" s="5" t="str">
        <f>VLOOKUP(A86,'[1]6月1号-7.5日任务完成数据'!$A:$C,3,0)</f>
        <v>区域经理</v>
      </c>
      <c r="D86" s="5" t="s">
        <v>41</v>
      </c>
      <c r="E86" s="5" t="s">
        <v>42</v>
      </c>
      <c r="F86" s="5" t="s">
        <v>43</v>
      </c>
      <c r="G86" s="5" t="s">
        <v>44</v>
      </c>
      <c r="H86" s="5">
        <v>5</v>
      </c>
      <c r="I86" s="5">
        <v>1</v>
      </c>
      <c r="J86" s="5">
        <v>1</v>
      </c>
      <c r="K86" s="5">
        <v>1</v>
      </c>
      <c r="L86" s="5">
        <v>1</v>
      </c>
      <c r="M86" s="5">
        <v>0</v>
      </c>
      <c r="N86" s="5">
        <f>S86+Z86</f>
        <v>531</v>
      </c>
      <c r="O86" s="5">
        <f>T86+AA86</f>
        <v>1248.89</v>
      </c>
      <c r="P86" s="5">
        <f>N86-O86</f>
        <v>-717.89</v>
      </c>
      <c r="Q86" s="5" t="s">
        <v>51</v>
      </c>
      <c r="R86" s="5">
        <v>0</v>
      </c>
      <c r="S86" s="5">
        <v>531</v>
      </c>
      <c r="T86" s="5">
        <v>1248.89</v>
      </c>
      <c r="U86" s="5">
        <f>S86-T86</f>
        <v>-717.89</v>
      </c>
      <c r="V86" s="5" t="s">
        <v>51</v>
      </c>
      <c r="W86" s="5">
        <v>0</v>
      </c>
      <c r="X86" s="5">
        <v>0</v>
      </c>
      <c r="Y86" s="5"/>
      <c r="Z86" s="5"/>
      <c r="AA86" s="5"/>
      <c r="AB86" s="5"/>
      <c r="AC86" s="5">
        <v>0</v>
      </c>
      <c r="AD86" s="5"/>
      <c r="AE86" s="5">
        <f>AC86-AD86</f>
        <v>0</v>
      </c>
      <c r="AF86" s="5">
        <v>2</v>
      </c>
      <c r="AG86" s="5">
        <v>0</v>
      </c>
      <c r="AH86" s="5">
        <v>2</v>
      </c>
      <c r="AI86" s="5">
        <v>2</v>
      </c>
      <c r="AJ86" s="5">
        <v>0</v>
      </c>
      <c r="AK86" s="5">
        <v>2</v>
      </c>
      <c r="AL86" s="5"/>
    </row>
    <row r="87" spans="1:38">
      <c r="A87" s="5" t="s">
        <v>166</v>
      </c>
      <c r="B87" s="5" t="s">
        <v>91</v>
      </c>
      <c r="C87" s="5" t="s">
        <v>87</v>
      </c>
      <c r="D87" s="5" t="s">
        <v>41</v>
      </c>
      <c r="E87" s="5" t="s">
        <v>42</v>
      </c>
      <c r="F87" s="5" t="s">
        <v>43</v>
      </c>
      <c r="G87" s="5" t="s">
        <v>88</v>
      </c>
      <c r="H87" s="5"/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f>S87+Z87</f>
        <v>490</v>
      </c>
      <c r="O87" s="5">
        <f>T87+AA87</f>
        <v>1394.89</v>
      </c>
      <c r="P87" s="5">
        <f>N87-O87</f>
        <v>-904.89</v>
      </c>
      <c r="Q87" s="5" t="s">
        <v>51</v>
      </c>
      <c r="R87" s="5">
        <v>0</v>
      </c>
      <c r="S87" s="5">
        <v>0</v>
      </c>
      <c r="T87" s="5">
        <v>1394.89</v>
      </c>
      <c r="U87" s="5">
        <f>S87-T87</f>
        <v>-1394.89</v>
      </c>
      <c r="V87" s="5"/>
      <c r="W87" s="5">
        <v>0</v>
      </c>
      <c r="X87" s="5">
        <v>0</v>
      </c>
      <c r="Y87" s="5"/>
      <c r="Z87" s="5">
        <v>490</v>
      </c>
      <c r="AA87" s="5"/>
      <c r="AB87" s="5"/>
      <c r="AC87" s="5"/>
      <c r="AD87" s="5">
        <v>97.89</v>
      </c>
      <c r="AE87" s="5">
        <f>AC87-AD87</f>
        <v>-97.89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 t="s">
        <v>89</v>
      </c>
    </row>
    <row r="88" spans="1:38">
      <c r="A88" s="4" t="s">
        <v>167</v>
      </c>
      <c r="B88" s="4" t="s">
        <v>60</v>
      </c>
      <c r="C88" s="5" t="str">
        <f>VLOOKUP(A88,'[1]6月1号-7.5日任务完成数据'!$A:$C,3,0)</f>
        <v>业务代表</v>
      </c>
      <c r="D88" s="4" t="s">
        <v>56</v>
      </c>
      <c r="E88" s="4" t="s">
        <v>42</v>
      </c>
      <c r="F88" s="4" t="s">
        <v>43</v>
      </c>
      <c r="G88" s="4" t="s">
        <v>44</v>
      </c>
      <c r="H88" s="4">
        <v>5</v>
      </c>
      <c r="I88" s="4">
        <v>0</v>
      </c>
      <c r="J88" s="4">
        <v>2</v>
      </c>
      <c r="K88" s="4">
        <v>4</v>
      </c>
      <c r="L88" s="4">
        <v>0</v>
      </c>
      <c r="M88" s="4">
        <v>4</v>
      </c>
      <c r="N88" s="5">
        <f>S88+Z88</f>
        <v>441.76</v>
      </c>
      <c r="O88" s="5">
        <f>T88+AA88</f>
        <v>397.88</v>
      </c>
      <c r="P88" s="5">
        <f>N88-O88</f>
        <v>43.88</v>
      </c>
      <c r="Q88" s="5" t="s">
        <v>45</v>
      </c>
      <c r="R88" s="4">
        <v>0</v>
      </c>
      <c r="S88" s="4">
        <v>0</v>
      </c>
      <c r="T88" s="4">
        <v>0</v>
      </c>
      <c r="U88" s="5">
        <f>S88-T88</f>
        <v>0</v>
      </c>
      <c r="V88" s="5"/>
      <c r="W88" s="4">
        <v>0</v>
      </c>
      <c r="X88" s="4">
        <v>0</v>
      </c>
      <c r="Y88" s="4"/>
      <c r="Z88" s="5">
        <v>441.76</v>
      </c>
      <c r="AA88" s="5">
        <v>397.88</v>
      </c>
      <c r="AB88" s="5">
        <f>Z88-AA88</f>
        <v>43.88</v>
      </c>
      <c r="AC88" s="5">
        <v>609.77</v>
      </c>
      <c r="AD88" s="5">
        <v>736.26</v>
      </c>
      <c r="AE88" s="5">
        <f>AC88-AD88</f>
        <v>-126.49</v>
      </c>
      <c r="AF88" s="5">
        <v>27</v>
      </c>
      <c r="AG88" s="5">
        <v>30</v>
      </c>
      <c r="AH88" s="5">
        <v>-3</v>
      </c>
      <c r="AI88" s="5">
        <v>24</v>
      </c>
      <c r="AJ88" s="5">
        <v>26</v>
      </c>
      <c r="AK88" s="5">
        <v>-2</v>
      </c>
      <c r="AL88" s="4"/>
    </row>
    <row r="89" spans="1:38">
      <c r="A89" s="5" t="s">
        <v>168</v>
      </c>
      <c r="B89" s="5" t="s">
        <v>116</v>
      </c>
      <c r="C89" s="5" t="str">
        <f>VLOOKUP(A89,'[1]6月1号-7.5日任务完成数据'!$A:$C,3,0)</f>
        <v>区域经理</v>
      </c>
      <c r="D89" s="5" t="s">
        <v>41</v>
      </c>
      <c r="E89" s="5" t="s">
        <v>42</v>
      </c>
      <c r="F89" s="5" t="s">
        <v>43</v>
      </c>
      <c r="G89" s="5" t="s">
        <v>88</v>
      </c>
      <c r="H89" s="5"/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f>S89+Z89</f>
        <v>431.94</v>
      </c>
      <c r="O89" s="5">
        <f>T89+AA89</f>
        <v>1458.31</v>
      </c>
      <c r="P89" s="5">
        <f>N89-O89</f>
        <v>-1026.37</v>
      </c>
      <c r="Q89" s="5" t="s">
        <v>51</v>
      </c>
      <c r="R89" s="5">
        <v>0</v>
      </c>
      <c r="S89" s="5">
        <v>0</v>
      </c>
      <c r="T89" s="5">
        <v>469.49</v>
      </c>
      <c r="U89" s="5">
        <f>S89-T89</f>
        <v>-469.49</v>
      </c>
      <c r="V89" s="5" t="s">
        <v>51</v>
      </c>
      <c r="W89" s="5">
        <v>0</v>
      </c>
      <c r="X89" s="5">
        <v>0</v>
      </c>
      <c r="Y89" s="5"/>
      <c r="Z89" s="5">
        <v>431.94</v>
      </c>
      <c r="AA89" s="5">
        <v>988.82</v>
      </c>
      <c r="AB89" s="5">
        <f>Z89-AA89</f>
        <v>-556.88</v>
      </c>
      <c r="AC89" s="5">
        <v>1125.22</v>
      </c>
      <c r="AD89" s="5">
        <v>1831.43</v>
      </c>
      <c r="AE89" s="5">
        <f>AC89-AD89</f>
        <v>-706.21</v>
      </c>
      <c r="AF89" s="5">
        <v>10</v>
      </c>
      <c r="AG89" s="5">
        <v>14</v>
      </c>
      <c r="AH89" s="5">
        <v>-4</v>
      </c>
      <c r="AI89" s="5">
        <v>9</v>
      </c>
      <c r="AJ89" s="5">
        <v>14</v>
      </c>
      <c r="AK89" s="5">
        <v>-5</v>
      </c>
      <c r="AL89" s="5"/>
    </row>
    <row r="90" spans="1:38">
      <c r="A90" s="5" t="s">
        <v>169</v>
      </c>
      <c r="B90" s="5" t="s">
        <v>170</v>
      </c>
      <c r="C90" s="5" t="str">
        <f>VLOOKUP(A90,'[1]6月1号-7.5日任务完成数据'!$A:$C,3,0)</f>
        <v>区域经理</v>
      </c>
      <c r="D90" s="5" t="s">
        <v>56</v>
      </c>
      <c r="E90" s="5" t="s">
        <v>42</v>
      </c>
      <c r="F90" s="5" t="s">
        <v>43</v>
      </c>
      <c r="G90" s="5" t="s">
        <v>44</v>
      </c>
      <c r="H90" s="5">
        <v>5.5</v>
      </c>
      <c r="I90" s="5">
        <v>2</v>
      </c>
      <c r="J90" s="5">
        <v>1</v>
      </c>
      <c r="K90" s="5">
        <v>2</v>
      </c>
      <c r="L90" s="5">
        <v>2</v>
      </c>
      <c r="M90" s="5">
        <v>0</v>
      </c>
      <c r="N90" s="5">
        <f>S90+Z90</f>
        <v>378</v>
      </c>
      <c r="O90" s="5">
        <f>T90+AA90</f>
        <v>1105</v>
      </c>
      <c r="P90" s="5">
        <f>N90-O90</f>
        <v>-727</v>
      </c>
      <c r="Q90" s="5" t="s">
        <v>51</v>
      </c>
      <c r="R90" s="5">
        <v>0</v>
      </c>
      <c r="S90" s="5">
        <v>378</v>
      </c>
      <c r="T90" s="5">
        <v>1105</v>
      </c>
      <c r="U90" s="5">
        <f>S90-T90</f>
        <v>-727</v>
      </c>
      <c r="V90" s="5" t="s">
        <v>51</v>
      </c>
      <c r="W90" s="5">
        <v>0</v>
      </c>
      <c r="X90" s="5">
        <v>0</v>
      </c>
      <c r="Y90" s="5"/>
      <c r="Z90" s="5"/>
      <c r="AA90" s="5"/>
      <c r="AB90" s="5"/>
      <c r="AC90" s="5">
        <v>0</v>
      </c>
      <c r="AD90" s="5"/>
      <c r="AE90" s="5">
        <f>AC90-AD90</f>
        <v>0</v>
      </c>
      <c r="AF90" s="5">
        <v>4</v>
      </c>
      <c r="AG90" s="5">
        <v>0</v>
      </c>
      <c r="AH90" s="5">
        <v>4</v>
      </c>
      <c r="AI90" s="5">
        <v>4</v>
      </c>
      <c r="AJ90" s="5">
        <v>0</v>
      </c>
      <c r="AK90" s="5">
        <v>4</v>
      </c>
      <c r="AL90" s="5"/>
    </row>
    <row r="91" spans="1:38">
      <c r="A91" s="4" t="s">
        <v>171</v>
      </c>
      <c r="B91" s="4" t="s">
        <v>53</v>
      </c>
      <c r="C91" s="5" t="str">
        <f>VLOOKUP(A91,'[1]6月1号-7.5日任务完成数据'!$A:$C,3,0)</f>
        <v>业务代表</v>
      </c>
      <c r="D91" s="4" t="s">
        <v>48</v>
      </c>
      <c r="E91" s="4" t="s">
        <v>140</v>
      </c>
      <c r="F91" s="4" t="s">
        <v>43</v>
      </c>
      <c r="G91" s="4" t="s">
        <v>44</v>
      </c>
      <c r="H91" s="4">
        <v>1</v>
      </c>
      <c r="I91" s="4">
        <v>1</v>
      </c>
      <c r="J91" s="4">
        <v>1</v>
      </c>
      <c r="K91" s="4">
        <v>3</v>
      </c>
      <c r="L91" s="4">
        <v>0</v>
      </c>
      <c r="M91" s="4">
        <v>3</v>
      </c>
      <c r="N91" s="5">
        <f>S91+Z91</f>
        <v>310</v>
      </c>
      <c r="O91" s="5">
        <f>T91+AA91</f>
        <v>0</v>
      </c>
      <c r="P91" s="5">
        <f>N91-O91</f>
        <v>310</v>
      </c>
      <c r="Q91" s="5"/>
      <c r="R91" s="4">
        <v>310</v>
      </c>
      <c r="S91" s="4">
        <v>310</v>
      </c>
      <c r="T91" s="4">
        <v>0</v>
      </c>
      <c r="U91" s="5">
        <f>S91-T91</f>
        <v>310</v>
      </c>
      <c r="V91" s="5"/>
      <c r="W91" s="4">
        <v>0</v>
      </c>
      <c r="X91" s="4">
        <v>0</v>
      </c>
      <c r="Y91" s="4"/>
      <c r="Z91" s="5"/>
      <c r="AA91" s="5"/>
      <c r="AB91" s="5"/>
      <c r="AC91" s="5">
        <v>769.87</v>
      </c>
      <c r="AD91" s="5"/>
      <c r="AE91" s="5">
        <f>AC91-AD91</f>
        <v>769.87</v>
      </c>
      <c r="AF91" s="5">
        <v>7</v>
      </c>
      <c r="AG91" s="5">
        <v>0</v>
      </c>
      <c r="AH91" s="5">
        <v>7</v>
      </c>
      <c r="AI91" s="5">
        <v>6</v>
      </c>
      <c r="AJ91" s="5">
        <v>0</v>
      </c>
      <c r="AK91" s="5">
        <v>6</v>
      </c>
      <c r="AL91" s="4"/>
    </row>
    <row r="92" spans="1:38">
      <c r="A92" s="5" t="s">
        <v>172</v>
      </c>
      <c r="B92" s="5" t="s">
        <v>60</v>
      </c>
      <c r="C92" s="5" t="str">
        <f>VLOOKUP(A92,'[1]6月1号-7.5日任务完成数据'!$A:$C,3,0)</f>
        <v>业务代表</v>
      </c>
      <c r="D92" s="5" t="s">
        <v>56</v>
      </c>
      <c r="E92" s="5" t="s">
        <v>42</v>
      </c>
      <c r="F92" s="5" t="s">
        <v>43</v>
      </c>
      <c r="G92" s="5" t="s">
        <v>44</v>
      </c>
      <c r="H92" s="5">
        <v>5.5</v>
      </c>
      <c r="I92" s="5">
        <v>0</v>
      </c>
      <c r="J92" s="5">
        <v>1</v>
      </c>
      <c r="K92" s="5">
        <v>4</v>
      </c>
      <c r="L92" s="5">
        <v>3</v>
      </c>
      <c r="M92" s="5">
        <v>1</v>
      </c>
      <c r="N92" s="5">
        <f>S92+Z92</f>
        <v>191</v>
      </c>
      <c r="O92" s="5">
        <f>T92+AA92</f>
        <v>0</v>
      </c>
      <c r="P92" s="5">
        <f>N92-O92</f>
        <v>191</v>
      </c>
      <c r="Q92" s="5"/>
      <c r="R92" s="5">
        <v>0</v>
      </c>
      <c r="S92" s="5">
        <v>0</v>
      </c>
      <c r="T92" s="5">
        <v>0</v>
      </c>
      <c r="U92" s="5">
        <f>S92-T92</f>
        <v>0</v>
      </c>
      <c r="V92" s="5"/>
      <c r="W92" s="5">
        <v>0</v>
      </c>
      <c r="X92" s="5">
        <v>0</v>
      </c>
      <c r="Y92" s="5"/>
      <c r="Z92" s="5">
        <v>191</v>
      </c>
      <c r="AA92" s="5"/>
      <c r="AB92" s="5"/>
      <c r="AC92" s="5">
        <v>559.89</v>
      </c>
      <c r="AD92" s="5">
        <v>319.01</v>
      </c>
      <c r="AE92" s="5">
        <f>AC92-AD92</f>
        <v>240.88</v>
      </c>
      <c r="AF92" s="5">
        <v>34</v>
      </c>
      <c r="AG92" s="5">
        <v>28</v>
      </c>
      <c r="AH92" s="5">
        <v>6</v>
      </c>
      <c r="AI92" s="5">
        <v>29</v>
      </c>
      <c r="AJ92" s="5">
        <v>27</v>
      </c>
      <c r="AK92" s="5">
        <v>2</v>
      </c>
      <c r="AL92" s="5"/>
    </row>
    <row r="93" spans="1:38">
      <c r="A93" s="5" t="s">
        <v>173</v>
      </c>
      <c r="B93" s="5" t="s">
        <v>60</v>
      </c>
      <c r="C93" s="5" t="s">
        <v>87</v>
      </c>
      <c r="D93" s="5" t="s">
        <v>41</v>
      </c>
      <c r="E93" s="5" t="s">
        <v>42</v>
      </c>
      <c r="F93" s="5" t="s">
        <v>43</v>
      </c>
      <c r="G93" s="5" t="s">
        <v>88</v>
      </c>
      <c r="H93" s="5"/>
      <c r="I93" s="5">
        <v>1</v>
      </c>
      <c r="J93" s="5">
        <v>0</v>
      </c>
      <c r="K93" s="5">
        <v>0</v>
      </c>
      <c r="L93" s="5">
        <v>0</v>
      </c>
      <c r="M93" s="5">
        <v>0</v>
      </c>
      <c r="N93" s="5">
        <f>S93+Z93</f>
        <v>183</v>
      </c>
      <c r="O93" s="5">
        <f>T93+AA93</f>
        <v>0</v>
      </c>
      <c r="P93" s="5">
        <f>N93-O93</f>
        <v>183</v>
      </c>
      <c r="Q93" s="5"/>
      <c r="R93" s="5">
        <v>0</v>
      </c>
      <c r="S93" s="5">
        <v>183</v>
      </c>
      <c r="T93" s="5">
        <v>0</v>
      </c>
      <c r="U93" s="5">
        <f>S93-T93</f>
        <v>183</v>
      </c>
      <c r="V93" s="5"/>
      <c r="W93" s="5">
        <v>0</v>
      </c>
      <c r="X93" s="5">
        <v>0</v>
      </c>
      <c r="Y93" s="5"/>
      <c r="Z93" s="5"/>
      <c r="AA93" s="5"/>
      <c r="AB93" s="5"/>
      <c r="AC93" s="5">
        <v>7.38</v>
      </c>
      <c r="AD93" s="5"/>
      <c r="AE93" s="5">
        <f>AC93-AD93</f>
        <v>7.38</v>
      </c>
      <c r="AF93" s="5">
        <v>1</v>
      </c>
      <c r="AG93" s="5">
        <v>0</v>
      </c>
      <c r="AH93" s="5">
        <v>1</v>
      </c>
      <c r="AI93" s="5">
        <v>1</v>
      </c>
      <c r="AJ93" s="5">
        <v>0</v>
      </c>
      <c r="AK93" s="5">
        <v>1</v>
      </c>
      <c r="AL93" s="5" t="s">
        <v>89</v>
      </c>
    </row>
    <row r="94" spans="1:38">
      <c r="A94" s="5" t="s">
        <v>174</v>
      </c>
      <c r="B94" s="5" t="s">
        <v>106</v>
      </c>
      <c r="C94" s="5" t="s">
        <v>87</v>
      </c>
      <c r="D94" s="5" t="s">
        <v>41</v>
      </c>
      <c r="E94" s="5" t="s">
        <v>42</v>
      </c>
      <c r="F94" s="5" t="s">
        <v>43</v>
      </c>
      <c r="G94" s="5" t="s">
        <v>88</v>
      </c>
      <c r="H94" s="5"/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f>S94+Z94</f>
        <v>0</v>
      </c>
      <c r="O94" s="5">
        <f>T94+AA94</f>
        <v>1782.97</v>
      </c>
      <c r="P94" s="5">
        <f>N94-O94</f>
        <v>-1782.97</v>
      </c>
      <c r="Q94" s="5" t="s">
        <v>51</v>
      </c>
      <c r="R94" s="5">
        <v>0</v>
      </c>
      <c r="S94" s="5">
        <v>0</v>
      </c>
      <c r="T94" s="5">
        <v>588</v>
      </c>
      <c r="U94" s="5">
        <f>S94-T94</f>
        <v>-588</v>
      </c>
      <c r="V94" s="5"/>
      <c r="W94" s="5">
        <v>0</v>
      </c>
      <c r="X94" s="5">
        <v>0</v>
      </c>
      <c r="Y94" s="5"/>
      <c r="Z94" s="5"/>
      <c r="AA94" s="5">
        <v>1194.97</v>
      </c>
      <c r="AB94" s="5"/>
      <c r="AC94" s="5"/>
      <c r="AD94" s="5">
        <v>1991.61</v>
      </c>
      <c r="AE94" s="5">
        <f>AC94-AD94</f>
        <v>-1991.61</v>
      </c>
      <c r="AF94" s="5">
        <v>0</v>
      </c>
      <c r="AG94" s="5">
        <v>35</v>
      </c>
      <c r="AH94" s="5">
        <v>-35</v>
      </c>
      <c r="AI94" s="5">
        <v>0</v>
      </c>
      <c r="AJ94" s="5">
        <v>31</v>
      </c>
      <c r="AK94" s="5">
        <v>-31</v>
      </c>
      <c r="AL94" s="5" t="s">
        <v>89</v>
      </c>
    </row>
    <row r="95" spans="1:38">
      <c r="A95" s="5" t="s">
        <v>175</v>
      </c>
      <c r="B95" s="5" t="s">
        <v>125</v>
      </c>
      <c r="C95" s="5" t="str">
        <f>VLOOKUP(A95,'[1]6月1号-7.5日任务完成数据'!$A:$C,3,0)</f>
        <v>业务代表</v>
      </c>
      <c r="D95" s="5" t="s">
        <v>48</v>
      </c>
      <c r="E95" s="5" t="s">
        <v>140</v>
      </c>
      <c r="F95" s="5" t="s">
        <v>43</v>
      </c>
      <c r="G95" s="5" t="s">
        <v>44</v>
      </c>
      <c r="H95" s="5">
        <v>3.67</v>
      </c>
      <c r="I95" s="5">
        <v>0</v>
      </c>
      <c r="J95" s="5">
        <v>1</v>
      </c>
      <c r="K95" s="5">
        <v>3</v>
      </c>
      <c r="L95" s="5">
        <v>3</v>
      </c>
      <c r="M95" s="5">
        <v>0</v>
      </c>
      <c r="N95" s="5">
        <f>S95+Z95</f>
        <v>0</v>
      </c>
      <c r="O95" s="5">
        <f>T95+AA95</f>
        <v>0</v>
      </c>
      <c r="P95" s="5">
        <f>N95-O95</f>
        <v>0</v>
      </c>
      <c r="Q95" s="5"/>
      <c r="R95" s="5">
        <v>0</v>
      </c>
      <c r="S95" s="5">
        <v>0</v>
      </c>
      <c r="T95" s="5">
        <v>0</v>
      </c>
      <c r="U95" s="5">
        <f>S95-T95</f>
        <v>0</v>
      </c>
      <c r="V95" s="5"/>
      <c r="W95" s="5">
        <v>0</v>
      </c>
      <c r="X95" s="5">
        <v>0</v>
      </c>
      <c r="Y95" s="5"/>
      <c r="Z95" s="5"/>
      <c r="AA95" s="5"/>
      <c r="AB95" s="5"/>
      <c r="AC95" s="5">
        <v>450.33</v>
      </c>
      <c r="AD95" s="5"/>
      <c r="AE95" s="5">
        <f>AC95-AD95</f>
        <v>450.33</v>
      </c>
      <c r="AF95" s="5">
        <v>22</v>
      </c>
      <c r="AG95" s="5">
        <v>0</v>
      </c>
      <c r="AH95" s="5">
        <v>22</v>
      </c>
      <c r="AI95" s="5">
        <v>16</v>
      </c>
      <c r="AJ95" s="5">
        <v>0</v>
      </c>
      <c r="AK95" s="5">
        <v>16</v>
      </c>
      <c r="AL95" s="5"/>
    </row>
    <row r="96" spans="1:38">
      <c r="A96" s="5" t="s">
        <v>176</v>
      </c>
      <c r="B96" s="5" t="s">
        <v>85</v>
      </c>
      <c r="C96" s="5" t="str">
        <f>VLOOKUP(A96,'[1]6月1号-7.5日任务完成数据'!$A:$C,3,0)</f>
        <v>业务代表</v>
      </c>
      <c r="D96" s="5" t="s">
        <v>48</v>
      </c>
      <c r="E96" s="5" t="s">
        <v>42</v>
      </c>
      <c r="F96" s="5" t="s">
        <v>43</v>
      </c>
      <c r="G96" s="5" t="s">
        <v>88</v>
      </c>
      <c r="H96" s="5"/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f>S96+Z96</f>
        <v>0</v>
      </c>
      <c r="O96" s="5">
        <f>T96+AA96</f>
        <v>0</v>
      </c>
      <c r="P96" s="5">
        <f>N96-O96</f>
        <v>0</v>
      </c>
      <c r="Q96" s="5"/>
      <c r="R96" s="5">
        <v>0</v>
      </c>
      <c r="S96" s="5">
        <v>0</v>
      </c>
      <c r="T96" s="5">
        <v>0</v>
      </c>
      <c r="U96" s="5">
        <f>S96-T96</f>
        <v>0</v>
      </c>
      <c r="V96" s="5"/>
      <c r="W96" s="5">
        <v>0</v>
      </c>
      <c r="X96" s="5">
        <v>0</v>
      </c>
      <c r="Y96" s="5"/>
      <c r="Z96" s="5"/>
      <c r="AA96" s="5"/>
      <c r="AB96" s="5"/>
      <c r="AC96" s="5"/>
      <c r="AD96" s="5"/>
      <c r="AE96" s="5">
        <f>AC96-AD96</f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/>
    </row>
    <row r="97" spans="1:39">
      <c r="A97" s="5" t="s">
        <v>177</v>
      </c>
      <c r="B97" s="5" t="s">
        <v>85</v>
      </c>
      <c r="C97" s="5" t="str">
        <f>VLOOKUP(A97,'[1]6月1号-7.5日任务完成数据'!$A:$C,3,0)</f>
        <v>业务代表</v>
      </c>
      <c r="D97" s="5" t="s">
        <v>48</v>
      </c>
      <c r="E97" s="5" t="s">
        <v>42</v>
      </c>
      <c r="F97" s="5" t="s">
        <v>43</v>
      </c>
      <c r="G97" s="5" t="s">
        <v>88</v>
      </c>
      <c r="H97" s="5"/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f>S97+Z97</f>
        <v>0</v>
      </c>
      <c r="O97" s="5">
        <f>T97+AA97</f>
        <v>0</v>
      </c>
      <c r="P97" s="5">
        <f>N97-O97</f>
        <v>0</v>
      </c>
      <c r="Q97" s="5"/>
      <c r="R97" s="5">
        <v>0</v>
      </c>
      <c r="S97" s="5">
        <v>0</v>
      </c>
      <c r="T97" s="5">
        <v>0</v>
      </c>
      <c r="U97" s="5">
        <f>S97-T97</f>
        <v>0</v>
      </c>
      <c r="V97" s="5"/>
      <c r="W97" s="5">
        <v>0</v>
      </c>
      <c r="X97" s="5">
        <v>0</v>
      </c>
      <c r="Y97" s="5"/>
      <c r="Z97" s="5"/>
      <c r="AA97" s="5"/>
      <c r="AB97" s="5"/>
      <c r="AC97" s="5"/>
      <c r="AD97" s="5"/>
      <c r="AE97" s="5">
        <f>AC97-AD97</f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/>
    </row>
    <row r="98" spans="1:39">
      <c r="A98" s="5" t="s">
        <v>178</v>
      </c>
      <c r="B98" s="5" t="s">
        <v>170</v>
      </c>
      <c r="C98" s="5" t="s">
        <v>87</v>
      </c>
      <c r="D98" s="5" t="s">
        <v>41</v>
      </c>
      <c r="E98" s="5" t="s">
        <v>42</v>
      </c>
      <c r="F98" s="5" t="s">
        <v>43</v>
      </c>
      <c r="G98" s="5" t="s">
        <v>88</v>
      </c>
      <c r="H98" s="5"/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f>S98+Z98</f>
        <v>0</v>
      </c>
      <c r="O98" s="5">
        <f>T98+AA98</f>
        <v>1711.35</v>
      </c>
      <c r="P98" s="5">
        <f>N98-O98</f>
        <v>-1711.35</v>
      </c>
      <c r="Q98" s="5" t="s">
        <v>51</v>
      </c>
      <c r="R98" s="5">
        <v>0</v>
      </c>
      <c r="S98" s="5">
        <v>0</v>
      </c>
      <c r="T98" s="5">
        <v>336.15</v>
      </c>
      <c r="U98" s="5">
        <f>S98-T98</f>
        <v>-336.15</v>
      </c>
      <c r="V98" s="5"/>
      <c r="W98" s="5">
        <v>0</v>
      </c>
      <c r="X98" s="5">
        <v>0</v>
      </c>
      <c r="Y98" s="5"/>
      <c r="Z98" s="5"/>
      <c r="AA98" s="5">
        <v>1375.2</v>
      </c>
      <c r="AB98" s="5"/>
      <c r="AC98" s="5"/>
      <c r="AD98" s="5">
        <v>789.04</v>
      </c>
      <c r="AE98" s="5">
        <f>AC98-AD98</f>
        <v>-789.04</v>
      </c>
      <c r="AF98" s="5">
        <v>0</v>
      </c>
      <c r="AG98" s="5">
        <v>10</v>
      </c>
      <c r="AH98" s="5">
        <v>-10</v>
      </c>
      <c r="AI98" s="5">
        <v>0</v>
      </c>
      <c r="AJ98" s="5">
        <v>10</v>
      </c>
      <c r="AK98" s="5">
        <v>-10</v>
      </c>
      <c r="AL98" s="5" t="s">
        <v>89</v>
      </c>
    </row>
    <row r="99" spans="1:39">
      <c r="A99" s="4" t="s">
        <v>179</v>
      </c>
      <c r="B99" s="4" t="s">
        <v>62</v>
      </c>
      <c r="C99" s="5" t="str">
        <f>VLOOKUP(A99,'[1]6月1号-7.5日任务完成数据'!$A:$C,3,0)</f>
        <v>业务代表</v>
      </c>
      <c r="D99" s="4" t="s">
        <v>48</v>
      </c>
      <c r="E99" s="4" t="s">
        <v>42</v>
      </c>
      <c r="F99" s="4" t="s">
        <v>43</v>
      </c>
      <c r="G99" s="4" t="s">
        <v>44</v>
      </c>
      <c r="H99" s="4">
        <v>5</v>
      </c>
      <c r="I99" s="4">
        <v>0</v>
      </c>
      <c r="J99" s="4">
        <v>2</v>
      </c>
      <c r="K99" s="4">
        <v>4</v>
      </c>
      <c r="L99" s="4">
        <v>0</v>
      </c>
      <c r="M99" s="4">
        <v>4</v>
      </c>
      <c r="N99" s="5">
        <f>S99+Z99</f>
        <v>0</v>
      </c>
      <c r="O99" s="5">
        <f>T99+AA99</f>
        <v>1307.5</v>
      </c>
      <c r="P99" s="5">
        <f>N99-O99</f>
        <v>-1307.5</v>
      </c>
      <c r="Q99" s="5" t="s">
        <v>51</v>
      </c>
      <c r="R99" s="4">
        <v>0</v>
      </c>
      <c r="S99" s="4">
        <v>0</v>
      </c>
      <c r="T99" s="4">
        <v>0</v>
      </c>
      <c r="U99" s="5">
        <f>S99-T99</f>
        <v>0</v>
      </c>
      <c r="V99" s="5"/>
      <c r="W99" s="4">
        <v>0</v>
      </c>
      <c r="X99" s="4">
        <v>0</v>
      </c>
      <c r="Y99" s="4"/>
      <c r="Z99" s="5"/>
      <c r="AA99" s="5">
        <v>1307.5</v>
      </c>
      <c r="AB99" s="5"/>
      <c r="AC99" s="5">
        <v>1821.42</v>
      </c>
      <c r="AD99" s="5">
        <v>2041.65</v>
      </c>
      <c r="AE99" s="5">
        <f>AC99-AD99</f>
        <v>-220.23</v>
      </c>
      <c r="AF99" s="5">
        <v>33</v>
      </c>
      <c r="AG99" s="5">
        <v>28</v>
      </c>
      <c r="AH99" s="5">
        <v>5</v>
      </c>
      <c r="AI99" s="5">
        <v>32</v>
      </c>
      <c r="AJ99" s="5">
        <v>28</v>
      </c>
      <c r="AK99" s="5">
        <v>4</v>
      </c>
      <c r="AL99" s="4"/>
    </row>
    <row r="104" spans="1:39"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M104" s="6"/>
    </row>
    <row r="105" spans="1:39"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</row>
    <row r="107" spans="1:39">
      <c r="I107" s="6"/>
      <c r="J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</row>
    <row r="108" spans="1:39">
      <c r="I108" s="6"/>
      <c r="J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</row>
  </sheetData>
  <autoFilter xmlns:etc="http://www.wps.cn/officeDocument/2017/etCustomData" ref="A1:AL99" etc:filterBottomFollowUsedRange="0">
    <extLst/>
  </autoFilter>
  <sortState ref="A2:AM99">
    <sortCondition ref="N2" descending="1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" sqref="A1"/>
    </sheetView>
  </sheetViews>
  <sheetFormatPr defaultColWidth="9" defaultRowHeight="14" outlineLevelCol="1"/>
  <cols>
    <col min="1" max="1" width="22" customWidth="1"/>
    <col min="2" max="2" width="80" customWidth="1"/>
  </cols>
  <sheetData>
    <row r="1" spans="1:2">
      <c r="A1" t="s">
        <v>180</v>
      </c>
      <c r="B1" t="s">
        <v>181</v>
      </c>
    </row>
    <row r="2" spans="1:2">
      <c r="A2" t="s">
        <v>182</v>
      </c>
      <c r="B2" t="s">
        <v>183</v>
      </c>
    </row>
    <row r="3" spans="1:2">
      <c r="A3" t="s">
        <v>184</v>
      </c>
      <c r="B3" t="s">
        <v>185</v>
      </c>
    </row>
    <row r="4" spans="1:2">
      <c r="A4" t="s">
        <v>186</v>
      </c>
      <c r="B4" t="s">
        <v>187</v>
      </c>
    </row>
    <row r="5" spans="1:2">
      <c r="A5" t="s">
        <v>140</v>
      </c>
      <c r="B5" t="s">
        <v>188</v>
      </c>
    </row>
    <row r="6" spans="1:2">
      <c r="A6" t="s">
        <v>161</v>
      </c>
      <c r="B6" t="s">
        <v>189</v>
      </c>
    </row>
    <row r="7" spans="1:2">
      <c r="A7" t="s">
        <v>7</v>
      </c>
      <c r="B7" t="s">
        <v>190</v>
      </c>
    </row>
    <row r="8" spans="1:2">
      <c r="A8" t="s">
        <v>8</v>
      </c>
      <c r="B8" t="s">
        <v>191</v>
      </c>
    </row>
    <row r="9" spans="1:2">
      <c r="A9" t="s">
        <v>9</v>
      </c>
      <c r="B9" t="s">
        <v>192</v>
      </c>
    </row>
    <row r="10" spans="1:2">
      <c r="A10" t="s">
        <v>193</v>
      </c>
      <c r="B10" t="s">
        <v>194</v>
      </c>
    </row>
    <row r="11" spans="1:2">
      <c r="A11" t="s">
        <v>17</v>
      </c>
      <c r="B11" t="s">
        <v>195</v>
      </c>
    </row>
    <row r="12" spans="1:2">
      <c r="A12" t="s">
        <v>196</v>
      </c>
      <c r="B12" t="s">
        <v>197</v>
      </c>
    </row>
    <row r="13" spans="1:2">
      <c r="A13" t="s">
        <v>198</v>
      </c>
      <c r="B13" t="s">
        <v>199</v>
      </c>
    </row>
    <row r="14" spans="1:2">
      <c r="A14" t="s">
        <v>22</v>
      </c>
      <c r="B14" t="s">
        <v>200</v>
      </c>
    </row>
    <row r="15" spans="1:2">
      <c r="A15" t="s">
        <v>201</v>
      </c>
      <c r="B15" t="s">
        <v>202</v>
      </c>
    </row>
    <row r="16" spans="1:2">
      <c r="A16" t="s">
        <v>203</v>
      </c>
      <c r="B16" t="s">
        <v>204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业务员周度明细</vt:lpstr>
      <vt:lpstr>口径说明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Ivy</cp:lastModifiedBy>
  <dcterms:created xsi:type="dcterms:W3CDTF">2026-07-22T13:46:00Z</dcterms:created>
  <dcterms:modified xsi:type="dcterms:W3CDTF">2026-07-23T13:00:17Z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328CBDC87F084EBEB1B97091B7957E2B_12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